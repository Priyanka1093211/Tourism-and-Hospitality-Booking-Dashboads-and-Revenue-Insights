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neha\OneDrive\Documents\INSHA\"/>
    </mc:Choice>
  </mc:AlternateContent>
  <bookViews>
    <workbookView xWindow="0" yWindow="0" windowWidth="20490" windowHeight="7635" activeTab="1"/>
  </bookViews>
  <sheets>
    <sheet name="Dashboard" sheetId="8" r:id="rId1"/>
    <sheet name="Sheet1" sheetId="7" r:id="rId2"/>
    <sheet name="Tourism_Data" sheetId="3" r:id="rId3"/>
  </sheets>
  <definedNames>
    <definedName name="Slicer_Hotel_Name">#N/A</definedName>
    <definedName name="Slicer_Season">#N/A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3" l="1"/>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alcChain>
</file>

<file path=xl/sharedStrings.xml><?xml version="1.0" encoding="utf-8"?>
<sst xmlns="http://schemas.openxmlformats.org/spreadsheetml/2006/main" count="4079" uniqueCount="319">
  <si>
    <t>Hotel Name</t>
  </si>
  <si>
    <t>Room Type</t>
  </si>
  <si>
    <t>Booking Date</t>
  </si>
  <si>
    <t>Revenue</t>
  </si>
  <si>
    <t>Customer Type</t>
  </si>
  <si>
    <t>Season</t>
  </si>
  <si>
    <t>Rooms Available</t>
  </si>
  <si>
    <t>Rooms Booked</t>
  </si>
  <si>
    <t>Booking Status</t>
  </si>
  <si>
    <t>Booking Lead Time (Days)</t>
  </si>
  <si>
    <t>Repeat Guest</t>
  </si>
  <si>
    <t>Payment Mode</t>
  </si>
  <si>
    <t>Stay Duration (Nights)</t>
  </si>
  <si>
    <t>Discount (%)</t>
  </si>
  <si>
    <t>Net Revenue</t>
  </si>
  <si>
    <t>Lake View Lodge</t>
  </si>
  <si>
    <t>Sea View Resort</t>
  </si>
  <si>
    <t>Hilltop Inn</t>
  </si>
  <si>
    <t>Sunrise Hotel</t>
  </si>
  <si>
    <t>Royal Palace</t>
  </si>
  <si>
    <t>City Stay</t>
  </si>
  <si>
    <t>Deluxe</t>
  </si>
  <si>
    <t>Standard</t>
  </si>
  <si>
    <t>Suite</t>
  </si>
  <si>
    <t>16/11/2025</t>
  </si>
  <si>
    <t>17/12/2025</t>
  </si>
  <si>
    <t>10/06/2025</t>
  </si>
  <si>
    <t>02/02/2025</t>
  </si>
  <si>
    <t>24/02/2025</t>
  </si>
  <si>
    <t>11/11/2025</t>
  </si>
  <si>
    <t>01/06/2025</t>
  </si>
  <si>
    <t>22/07/2025</t>
  </si>
  <si>
    <t>18/07/2025</t>
  </si>
  <si>
    <t>19/04/2025</t>
  </si>
  <si>
    <t>07/06/2025</t>
  </si>
  <si>
    <t>23/01/2025</t>
  </si>
  <si>
    <t>13/12/2025</t>
  </si>
  <si>
    <t>10/02/2025</t>
  </si>
  <si>
    <t>22/05/2025</t>
  </si>
  <si>
    <t>15/08/2025</t>
  </si>
  <si>
    <t>19/02/2025</t>
  </si>
  <si>
    <t>06/10/2025</t>
  </si>
  <si>
    <t>27/03/2025</t>
  </si>
  <si>
    <t>16/12/2025</t>
  </si>
  <si>
    <t>21/06/2025</t>
  </si>
  <si>
    <t>22/09/2025</t>
  </si>
  <si>
    <t>11/05/2025</t>
  </si>
  <si>
    <t>21/02/2025</t>
  </si>
  <si>
    <t>13/11/2025</t>
  </si>
  <si>
    <t>12/08/2025</t>
  </si>
  <si>
    <t>24/05/2025</t>
  </si>
  <si>
    <t>04/06/2025</t>
  </si>
  <si>
    <t>08/05/2025</t>
  </si>
  <si>
    <t>26/07/2025</t>
  </si>
  <si>
    <t>10/08/2025</t>
  </si>
  <si>
    <t>02/06/2025</t>
  </si>
  <si>
    <t>16/05/2025</t>
  </si>
  <si>
    <t>08/10/2025</t>
  </si>
  <si>
    <t>01/10/2025</t>
  </si>
  <si>
    <t>06/06/2025</t>
  </si>
  <si>
    <t>07/05/2025</t>
  </si>
  <si>
    <t>28/08/2025</t>
  </si>
  <si>
    <t>08/07/2025</t>
  </si>
  <si>
    <t>15/04/2025</t>
  </si>
  <si>
    <t>20/11/2025</t>
  </si>
  <si>
    <t>21/03/2025</t>
  </si>
  <si>
    <t>15/01/2025</t>
  </si>
  <si>
    <t>09/06/2025</t>
  </si>
  <si>
    <t>21/04/2025</t>
  </si>
  <si>
    <t>05/08/2025</t>
  </si>
  <si>
    <t>26/10/2025</t>
  </si>
  <si>
    <t>04/08/2025</t>
  </si>
  <si>
    <t>18/02/2025</t>
  </si>
  <si>
    <t>28/06/2025</t>
  </si>
  <si>
    <t>03/03/2025</t>
  </si>
  <si>
    <t>23/09/2025</t>
  </si>
  <si>
    <t>19/09/2025</t>
  </si>
  <si>
    <t>06/09/2025</t>
  </si>
  <si>
    <t>06/05/2025</t>
  </si>
  <si>
    <t>01/11/2025</t>
  </si>
  <si>
    <t>03/07/2025</t>
  </si>
  <si>
    <t>25/03/2025</t>
  </si>
  <si>
    <t>24/01/2025</t>
  </si>
  <si>
    <t>21/08/2025</t>
  </si>
  <si>
    <t>25/06/2025</t>
  </si>
  <si>
    <t>06/01/2025</t>
  </si>
  <si>
    <t>09/12/2025</t>
  </si>
  <si>
    <t>17/05/2025</t>
  </si>
  <si>
    <t>25/01/2025</t>
  </si>
  <si>
    <t>15/02/2025</t>
  </si>
  <si>
    <t>30/05/2025</t>
  </si>
  <si>
    <t>29/01/2025</t>
  </si>
  <si>
    <t>01/02/2025</t>
  </si>
  <si>
    <t>13/01/2025</t>
  </si>
  <si>
    <t>08/11/2025</t>
  </si>
  <si>
    <t>22/02/2025</t>
  </si>
  <si>
    <t>30/10/2025</t>
  </si>
  <si>
    <t>05/05/2025</t>
  </si>
  <si>
    <t>02/09/2025</t>
  </si>
  <si>
    <t>23/04/2025</t>
  </si>
  <si>
    <t>24/06/2025</t>
  </si>
  <si>
    <t>13/02/2025</t>
  </si>
  <si>
    <t>24/03/2025</t>
  </si>
  <si>
    <t>28/02/2025</t>
  </si>
  <si>
    <t>03/05/2025</t>
  </si>
  <si>
    <t>17/06/2025</t>
  </si>
  <si>
    <t>09/05/2025</t>
  </si>
  <si>
    <t>27/05/2025</t>
  </si>
  <si>
    <t>30/11/2025</t>
  </si>
  <si>
    <t>15/06/2025</t>
  </si>
  <si>
    <t>07/08/2025</t>
  </si>
  <si>
    <t>29/07/2025</t>
  </si>
  <si>
    <t>28/01/2025</t>
  </si>
  <si>
    <t>01/05/2025</t>
  </si>
  <si>
    <t>18/05/2025</t>
  </si>
  <si>
    <t>13/07/2025</t>
  </si>
  <si>
    <t>17/10/2025</t>
  </si>
  <si>
    <t>03/04/2025</t>
  </si>
  <si>
    <t>12/02/2025</t>
  </si>
  <si>
    <t>19/11/2025</t>
  </si>
  <si>
    <t>25/05/2025</t>
  </si>
  <si>
    <t>08/08/2025</t>
  </si>
  <si>
    <t>16/08/2025</t>
  </si>
  <si>
    <t>11/12/2025</t>
  </si>
  <si>
    <t>14/10/2025</t>
  </si>
  <si>
    <t>23/07/2025</t>
  </si>
  <si>
    <t>19/06/2025</t>
  </si>
  <si>
    <t>13/10/2025</t>
  </si>
  <si>
    <t>17/11/2025</t>
  </si>
  <si>
    <t>22/06/2025</t>
  </si>
  <si>
    <t>13/06/2025</t>
  </si>
  <si>
    <t>19/12/2025</t>
  </si>
  <si>
    <t>28/05/2025</t>
  </si>
  <si>
    <t>29/04/2025</t>
  </si>
  <si>
    <t>07/11/2025</t>
  </si>
  <si>
    <t>06/07/2025</t>
  </si>
  <si>
    <t>05/02/2025</t>
  </si>
  <si>
    <t>29/09/2025</t>
  </si>
  <si>
    <t>05/03/2025</t>
  </si>
  <si>
    <t>05/12/2025</t>
  </si>
  <si>
    <t>14/09/2025</t>
  </si>
  <si>
    <t>09/11/2025</t>
  </si>
  <si>
    <t>21/11/2025</t>
  </si>
  <si>
    <t>10/10/2025</t>
  </si>
  <si>
    <t>12/10/2025</t>
  </si>
  <si>
    <t>15/03/2025</t>
  </si>
  <si>
    <t>18/03/2025</t>
  </si>
  <si>
    <t>18/10/2025</t>
  </si>
  <si>
    <t>10/05/2025</t>
  </si>
  <si>
    <t>09/02/2025</t>
  </si>
  <si>
    <t>30/03/2025</t>
  </si>
  <si>
    <t>25/12/2025</t>
  </si>
  <si>
    <t>18/04/2025</t>
  </si>
  <si>
    <t>13/08/2025</t>
  </si>
  <si>
    <t>05/10/2025</t>
  </si>
  <si>
    <t>14/03/2025</t>
  </si>
  <si>
    <t>14/01/2025</t>
  </si>
  <si>
    <t>16/10/2025</t>
  </si>
  <si>
    <t>05/11/2025</t>
  </si>
  <si>
    <t>07/12/2025</t>
  </si>
  <si>
    <t>03/12/2025</t>
  </si>
  <si>
    <t>29/08/2025</t>
  </si>
  <si>
    <t>14/02/2025</t>
  </si>
  <si>
    <t>01/04/2025</t>
  </si>
  <si>
    <t>31/08/2025</t>
  </si>
  <si>
    <t>01/08/2025</t>
  </si>
  <si>
    <t>05/01/2025</t>
  </si>
  <si>
    <t>15/10/2025</t>
  </si>
  <si>
    <t>18/01/2025</t>
  </si>
  <si>
    <t>11/03/2025</t>
  </si>
  <si>
    <t>23/03/2025</t>
  </si>
  <si>
    <t>04/09/2025</t>
  </si>
  <si>
    <t>28/09/2025</t>
  </si>
  <si>
    <t>06/11/2025</t>
  </si>
  <si>
    <t>26/09/2025</t>
  </si>
  <si>
    <t>14/07/2025</t>
  </si>
  <si>
    <t>16/03/2025</t>
  </si>
  <si>
    <t>28/07/2025</t>
  </si>
  <si>
    <t>08/12/2025</t>
  </si>
  <si>
    <t>10/09/2025</t>
  </si>
  <si>
    <t>03/02/2025</t>
  </si>
  <si>
    <t>16/09/2025</t>
  </si>
  <si>
    <t>25/07/2025</t>
  </si>
  <si>
    <t>23/05/2025</t>
  </si>
  <si>
    <t>14/05/2025</t>
  </si>
  <si>
    <t>23/06/2025</t>
  </si>
  <si>
    <t>17/07/2025</t>
  </si>
  <si>
    <t>11/07/2025</t>
  </si>
  <si>
    <t>26/01/2025</t>
  </si>
  <si>
    <t>19/05/2025</t>
  </si>
  <si>
    <t>26/02/2025</t>
  </si>
  <si>
    <t>07/10/2025</t>
  </si>
  <si>
    <t>19/07/2025</t>
  </si>
  <si>
    <t>30/08/2025</t>
  </si>
  <si>
    <t>09/09/2025</t>
  </si>
  <si>
    <t>02/05/2025</t>
  </si>
  <si>
    <t>02/01/2025</t>
  </si>
  <si>
    <t>18/12/2025</t>
  </si>
  <si>
    <t>17/03/2025</t>
  </si>
  <si>
    <t>28/03/2025</t>
  </si>
  <si>
    <t>22/03/2025</t>
  </si>
  <si>
    <t>11/06/2025</t>
  </si>
  <si>
    <t>26/11/2025</t>
  </si>
  <si>
    <t>24/04/2025</t>
  </si>
  <si>
    <t>20/10/2025</t>
  </si>
  <si>
    <t>29/05/2025</t>
  </si>
  <si>
    <t>01/09/2025</t>
  </si>
  <si>
    <t>21/05/2025</t>
  </si>
  <si>
    <t>20/03/2025</t>
  </si>
  <si>
    <t>15/11/2025</t>
  </si>
  <si>
    <t>22/10/2025</t>
  </si>
  <si>
    <t>08/03/2025</t>
  </si>
  <si>
    <t>14/08/2025</t>
  </si>
  <si>
    <t>30/04/2025</t>
  </si>
  <si>
    <t>27/07/2025</t>
  </si>
  <si>
    <t>22/08/2025</t>
  </si>
  <si>
    <t>03/09/2025</t>
  </si>
  <si>
    <t>27/01/2025</t>
  </si>
  <si>
    <t>08/04/2025</t>
  </si>
  <si>
    <t>22/12/2025</t>
  </si>
  <si>
    <t>28/04/2025</t>
  </si>
  <si>
    <t>31/05/2025</t>
  </si>
  <si>
    <t>09/01/2025</t>
  </si>
  <si>
    <t>29/06/2025</t>
  </si>
  <si>
    <t>24/07/2025</t>
  </si>
  <si>
    <t>12/06/2025</t>
  </si>
  <si>
    <t>20/07/2025</t>
  </si>
  <si>
    <t>22/01/2025</t>
  </si>
  <si>
    <t>16/06/2025</t>
  </si>
  <si>
    <t>25/10/2025</t>
  </si>
  <si>
    <t>17/01/2025</t>
  </si>
  <si>
    <t>16/04/2025</t>
  </si>
  <si>
    <t>20/05/2025</t>
  </si>
  <si>
    <t>03/08/2025</t>
  </si>
  <si>
    <t>14/11/2025</t>
  </si>
  <si>
    <t>06/08/2025</t>
  </si>
  <si>
    <t>15/07/2025</t>
  </si>
  <si>
    <t>12/07/2025</t>
  </si>
  <si>
    <t>08/01/2025</t>
  </si>
  <si>
    <t>07/02/2025</t>
  </si>
  <si>
    <t>29/03/2025</t>
  </si>
  <si>
    <t>18/06/2025</t>
  </si>
  <si>
    <t>03/06/2025</t>
  </si>
  <si>
    <t>23/12/2025</t>
  </si>
  <si>
    <t>12/03/2025</t>
  </si>
  <si>
    <t>13/05/2025</t>
  </si>
  <si>
    <t>06/03/2025</t>
  </si>
  <si>
    <t>11/02/2025</t>
  </si>
  <si>
    <t>20/02/2025</t>
  </si>
  <si>
    <t>20/12/2025</t>
  </si>
  <si>
    <t>24/12/2025</t>
  </si>
  <si>
    <t>23/11/2025</t>
  </si>
  <si>
    <t>19/01/2025</t>
  </si>
  <si>
    <t>09/07/2025</t>
  </si>
  <si>
    <t>26/05/2025</t>
  </si>
  <si>
    <t>22/11/2025</t>
  </si>
  <si>
    <t>31/10/2025</t>
  </si>
  <si>
    <t>15/09/2025</t>
  </si>
  <si>
    <t>06/12/2025</t>
  </si>
  <si>
    <t>11/08/2025</t>
  </si>
  <si>
    <t>23/02/2025</t>
  </si>
  <si>
    <t>10/03/2025</t>
  </si>
  <si>
    <t>12/04/2025</t>
  </si>
  <si>
    <t>19/08/2025</t>
  </si>
  <si>
    <t>05/09/2025</t>
  </si>
  <si>
    <t>02/12/2025</t>
  </si>
  <si>
    <t>03/10/2025</t>
  </si>
  <si>
    <t>29/11/2025</t>
  </si>
  <si>
    <t>28/12/2025</t>
  </si>
  <si>
    <t>26/08/2025</t>
  </si>
  <si>
    <t>12/09/2025</t>
  </si>
  <si>
    <t>05/04/2025</t>
  </si>
  <si>
    <t>04/05/2025</t>
  </si>
  <si>
    <t>08/09/2025</t>
  </si>
  <si>
    <t>13/03/2025</t>
  </si>
  <si>
    <t>30/07/2025</t>
  </si>
  <si>
    <t>07/01/2025</t>
  </si>
  <si>
    <t>19/03/2025</t>
  </si>
  <si>
    <t>08/02/2025</t>
  </si>
  <si>
    <t>11/01/2025</t>
  </si>
  <si>
    <t>08/06/2025</t>
  </si>
  <si>
    <t>16/02/2025</t>
  </si>
  <si>
    <t>22/04/2025</t>
  </si>
  <si>
    <t>17/09/2025</t>
  </si>
  <si>
    <t>10/01/2025</t>
  </si>
  <si>
    <t>04/12/2025</t>
  </si>
  <si>
    <t>20/08/2025</t>
  </si>
  <si>
    <t>07/07/2025</t>
  </si>
  <si>
    <t>31/03/2025</t>
  </si>
  <si>
    <t>25/11/2025</t>
  </si>
  <si>
    <t>05/06/2025</t>
  </si>
  <si>
    <t>Family</t>
  </si>
  <si>
    <t>Couple</t>
  </si>
  <si>
    <t>Individual</t>
  </si>
  <si>
    <t>Corporate</t>
  </si>
  <si>
    <t>Off-Peak</t>
  </si>
  <si>
    <t>Peak</t>
  </si>
  <si>
    <t>Shoulder</t>
  </si>
  <si>
    <t>Confirmed</t>
  </si>
  <si>
    <t>Cancelled</t>
  </si>
  <si>
    <t>Yes</t>
  </si>
  <si>
    <t>No</t>
  </si>
  <si>
    <t>Net Banking</t>
  </si>
  <si>
    <t>Cash</t>
  </si>
  <si>
    <t>UPI</t>
  </si>
  <si>
    <t>Debit Card</t>
  </si>
  <si>
    <t>Credit Card</t>
  </si>
  <si>
    <t>Sum of Revenue</t>
  </si>
  <si>
    <t>Row Labels</t>
  </si>
  <si>
    <t>Grand Total</t>
  </si>
  <si>
    <t>Occupancy Rate</t>
  </si>
  <si>
    <t>Average Revenue</t>
  </si>
  <si>
    <t>(All)</t>
  </si>
  <si>
    <t>Column Labels</t>
  </si>
  <si>
    <t>Sum of Rooms Booked</t>
  </si>
  <si>
    <t>Sum of Stay Duration (Nights)</t>
  </si>
  <si>
    <t>Sum of Rooms Available</t>
  </si>
  <si>
    <t>Sum of Net Revenue</t>
  </si>
  <si>
    <t>Tourism and Hospitality Data Booking Dashboards and Revenue Insights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</si>
</sst>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8"/>
      <color theme="4" tint="-0.249977111117893"/>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10">
    <xf numFmtId="0" fontId="0" fillId="0" borderId="0" xfId="0"/>
    <xf numFmtId="0" fontId="0" fillId="0" borderId="1" xfId="0" applyBorder="1"/>
    <xf numFmtId="0" fontId="0" fillId="0" borderId="0" xfId="0" pivotButton="1"/>
    <xf numFmtId="0" fontId="0" fillId="0" borderId="0" xfId="0" applyAlignment="1">
      <alignment horizontal="left"/>
    </xf>
    <xf numFmtId="0" fontId="0" fillId="0" borderId="2" xfId="0" applyBorder="1"/>
    <xf numFmtId="0" fontId="0" fillId="0" borderId="3" xfId="0" applyBorder="1"/>
    <xf numFmtId="3" fontId="0" fillId="0" borderId="0" xfId="0" applyNumberFormat="1"/>
    <xf numFmtId="0" fontId="0" fillId="0" borderId="0" xfId="0" applyNumberFormat="1"/>
    <xf numFmtId="0" fontId="1" fillId="0" borderId="0" xfId="0" applyFont="1" applyAlignment="1"/>
    <xf numFmtId="0" fontId="1" fillId="0" borderId="0" xfId="0" applyFont="1" applyAlignment="1">
      <alignment horizontal="center"/>
    </xf>
  </cellXfs>
  <cellStyles count="1">
    <cellStyle name="Normal" xfId="0" builtinId="0"/>
  </cellStyles>
  <dxfs count="23">
    <dxf>
      <font>
        <strike val="0"/>
        <outline val="0"/>
        <shadow val="0"/>
        <u val="none"/>
        <vertAlign val="baseline"/>
        <sz val="11"/>
        <color theme="1"/>
        <name val="Calibri"/>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and Hospitality_PriyankaKumari.xlsx]Sheet1!PivotTable1</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Hotel</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solidFill>
              <a:schemeClr val="accent1"/>
            </a:solidFill>
            <a:ln>
              <a:noFill/>
            </a:ln>
            <a:effectLst/>
            <a:sp3d/>
          </c:spPr>
          <c:invertIfNegative val="0"/>
          <c:cat>
            <c:strRef>
              <c:f>Sheet1!$A$4:$A$10</c:f>
              <c:strCache>
                <c:ptCount val="6"/>
                <c:pt idx="0">
                  <c:v>City Stay</c:v>
                </c:pt>
                <c:pt idx="1">
                  <c:v>Hilltop Inn</c:v>
                </c:pt>
                <c:pt idx="2">
                  <c:v>Lake View Lodge</c:v>
                </c:pt>
                <c:pt idx="3">
                  <c:v>Royal Palace</c:v>
                </c:pt>
                <c:pt idx="4">
                  <c:v>Sea View Resort</c:v>
                </c:pt>
                <c:pt idx="5">
                  <c:v>Sunrise Hotel</c:v>
                </c:pt>
              </c:strCache>
            </c:strRef>
          </c:cat>
          <c:val>
            <c:numRef>
              <c:f>Sheet1!$B$4:$B$10</c:f>
              <c:numCache>
                <c:formatCode>#,##0</c:formatCode>
                <c:ptCount val="6"/>
                <c:pt idx="0">
                  <c:v>3909011</c:v>
                </c:pt>
                <c:pt idx="1">
                  <c:v>5568042</c:v>
                </c:pt>
                <c:pt idx="2">
                  <c:v>5561088</c:v>
                </c:pt>
                <c:pt idx="3">
                  <c:v>4398940</c:v>
                </c:pt>
                <c:pt idx="4">
                  <c:v>4667978</c:v>
                </c:pt>
                <c:pt idx="5">
                  <c:v>6070676</c:v>
                </c:pt>
              </c:numCache>
            </c:numRef>
          </c:val>
          <c:extLst xmlns:c16r2="http://schemas.microsoft.com/office/drawing/2015/06/chart">
            <c:ext xmlns:c16="http://schemas.microsoft.com/office/drawing/2014/chart" uri="{C3380CC4-5D6E-409C-BE32-E72D297353CC}">
              <c16:uniqueId val="{00000000-AD03-4055-A7D8-03CD44A97DCC}"/>
            </c:ext>
          </c:extLst>
        </c:ser>
        <c:dLbls>
          <c:showLegendKey val="0"/>
          <c:showVal val="0"/>
          <c:showCatName val="0"/>
          <c:showSerName val="0"/>
          <c:showPercent val="0"/>
          <c:showBubbleSize val="0"/>
        </c:dLbls>
        <c:gapWidth val="150"/>
        <c:shape val="box"/>
        <c:axId val="294788840"/>
        <c:axId val="126411424"/>
        <c:axId val="0"/>
      </c:bar3DChart>
      <c:catAx>
        <c:axId val="294788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1424"/>
        <c:crosses val="autoZero"/>
        <c:auto val="1"/>
        <c:lblAlgn val="ctr"/>
        <c:lblOffset val="100"/>
        <c:noMultiLvlLbl val="0"/>
      </c:catAx>
      <c:valAx>
        <c:axId val="126411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88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and Hospitality_PriyankaKumari.xlsx]Sheet1!PivotTable2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by Hotel and Room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Sheet1!$B$15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Sheet1!$A$16:$A$19</c:f>
              <c:strCache>
                <c:ptCount val="3"/>
                <c:pt idx="0">
                  <c:v>Deluxe</c:v>
                </c:pt>
                <c:pt idx="1">
                  <c:v>Standard</c:v>
                </c:pt>
                <c:pt idx="2">
                  <c:v>Suite</c:v>
                </c:pt>
              </c:strCache>
            </c:strRef>
          </c:cat>
          <c:val>
            <c:numRef>
              <c:f>Sheet1!$B$16:$B$19</c:f>
              <c:numCache>
                <c:formatCode>General</c:formatCode>
                <c:ptCount val="3"/>
                <c:pt idx="0">
                  <c:v>1339240</c:v>
                </c:pt>
                <c:pt idx="1">
                  <c:v>1266085</c:v>
                </c:pt>
                <c:pt idx="2">
                  <c:v>2062653</c:v>
                </c:pt>
              </c:numCache>
            </c:numRef>
          </c:val>
          <c:smooth val="0"/>
          <c:extLst xmlns:c16r2="http://schemas.microsoft.com/office/drawing/2015/06/chart">
            <c:ext xmlns:c16="http://schemas.microsoft.com/office/drawing/2014/chart" uri="{C3380CC4-5D6E-409C-BE32-E72D297353CC}">
              <c16:uniqueId val="{00000000-FCB5-44E4-B386-BBAA0FCF88C0}"/>
            </c:ext>
          </c:extLst>
        </c:ser>
        <c:dLbls>
          <c:showLegendKey val="0"/>
          <c:showVal val="0"/>
          <c:showCatName val="0"/>
          <c:showSerName val="0"/>
          <c:showPercent val="0"/>
          <c:showBubbleSize val="0"/>
        </c:dLbls>
        <c:marker val="1"/>
        <c:smooth val="0"/>
        <c:axId val="190027776"/>
        <c:axId val="189119208"/>
      </c:lineChart>
      <c:catAx>
        <c:axId val="19002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9208"/>
        <c:crosses val="autoZero"/>
        <c:auto val="1"/>
        <c:lblAlgn val="ctr"/>
        <c:lblOffset val="100"/>
        <c:noMultiLvlLbl val="0"/>
      </c:catAx>
      <c:valAx>
        <c:axId val="189119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27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and Hospitality_PriyankaKumari.xlsx]Sheet1!PivotTable6</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Seasons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cked"/>
        <c:varyColors val="0"/>
        <c:ser>
          <c:idx val="0"/>
          <c:order val="0"/>
          <c:tx>
            <c:strRef>
              <c:f>Sheet1!$H$15:$H$16</c:f>
              <c:strCache>
                <c:ptCount val="1"/>
                <c:pt idx="0">
                  <c:v>Off-Peak</c:v>
                </c:pt>
              </c:strCache>
            </c:strRef>
          </c:tx>
          <c:spPr>
            <a:ln w="28575" cap="rnd">
              <a:solidFill>
                <a:schemeClr val="accent1"/>
              </a:solidFill>
              <a:round/>
            </a:ln>
            <a:effectLst/>
          </c:spPr>
          <c:marker>
            <c:symbol val="none"/>
          </c:marker>
          <c:cat>
            <c:strRef>
              <c:f>Sheet1!$G$17:$G$23</c:f>
              <c:strCache>
                <c:ptCount val="6"/>
                <c:pt idx="0">
                  <c:v>City Stay</c:v>
                </c:pt>
                <c:pt idx="1">
                  <c:v>Hilltop Inn</c:v>
                </c:pt>
                <c:pt idx="2">
                  <c:v>Lake View Lodge</c:v>
                </c:pt>
                <c:pt idx="3">
                  <c:v>Royal Palace</c:v>
                </c:pt>
                <c:pt idx="4">
                  <c:v>Sea View Resort</c:v>
                </c:pt>
                <c:pt idx="5">
                  <c:v>Sunrise Hotel</c:v>
                </c:pt>
              </c:strCache>
            </c:strRef>
          </c:cat>
          <c:val>
            <c:numRef>
              <c:f>Sheet1!$H$17:$H$23</c:f>
              <c:numCache>
                <c:formatCode>#,##0</c:formatCode>
                <c:ptCount val="6"/>
                <c:pt idx="0">
                  <c:v>2767446</c:v>
                </c:pt>
                <c:pt idx="1">
                  <c:v>1991032</c:v>
                </c:pt>
                <c:pt idx="2">
                  <c:v>2973511</c:v>
                </c:pt>
                <c:pt idx="3">
                  <c:v>2321301</c:v>
                </c:pt>
                <c:pt idx="4">
                  <c:v>3068235</c:v>
                </c:pt>
                <c:pt idx="5">
                  <c:v>3493761</c:v>
                </c:pt>
              </c:numCache>
            </c:numRef>
          </c:val>
          <c:smooth val="0"/>
          <c:extLst xmlns:c16r2="http://schemas.microsoft.com/office/drawing/2015/06/chart">
            <c:ext xmlns:c16="http://schemas.microsoft.com/office/drawing/2014/chart" uri="{C3380CC4-5D6E-409C-BE32-E72D297353CC}">
              <c16:uniqueId val="{00000000-740B-4454-8257-01B538079D7E}"/>
            </c:ext>
          </c:extLst>
        </c:ser>
        <c:ser>
          <c:idx val="1"/>
          <c:order val="1"/>
          <c:tx>
            <c:strRef>
              <c:f>Sheet1!$I$15:$I$16</c:f>
              <c:strCache>
                <c:ptCount val="1"/>
                <c:pt idx="0">
                  <c:v>Peak</c:v>
                </c:pt>
              </c:strCache>
            </c:strRef>
          </c:tx>
          <c:spPr>
            <a:ln w="28575" cap="rnd">
              <a:solidFill>
                <a:schemeClr val="accent2"/>
              </a:solidFill>
              <a:round/>
            </a:ln>
            <a:effectLst/>
          </c:spPr>
          <c:marker>
            <c:symbol val="none"/>
          </c:marker>
          <c:cat>
            <c:strRef>
              <c:f>Sheet1!$G$17:$G$23</c:f>
              <c:strCache>
                <c:ptCount val="6"/>
                <c:pt idx="0">
                  <c:v>City Stay</c:v>
                </c:pt>
                <c:pt idx="1">
                  <c:v>Hilltop Inn</c:v>
                </c:pt>
                <c:pt idx="2">
                  <c:v>Lake View Lodge</c:v>
                </c:pt>
                <c:pt idx="3">
                  <c:v>Royal Palace</c:v>
                </c:pt>
                <c:pt idx="4">
                  <c:v>Sea View Resort</c:v>
                </c:pt>
                <c:pt idx="5">
                  <c:v>Sunrise Hotel</c:v>
                </c:pt>
              </c:strCache>
            </c:strRef>
          </c:cat>
          <c:val>
            <c:numRef>
              <c:f>Sheet1!$I$17:$I$23</c:f>
              <c:numCache>
                <c:formatCode>#,##0</c:formatCode>
                <c:ptCount val="6"/>
                <c:pt idx="0">
                  <c:v>912887</c:v>
                </c:pt>
                <c:pt idx="1">
                  <c:v>1903545</c:v>
                </c:pt>
                <c:pt idx="2">
                  <c:v>1611904</c:v>
                </c:pt>
                <c:pt idx="3">
                  <c:v>967885</c:v>
                </c:pt>
                <c:pt idx="4">
                  <c:v>785001</c:v>
                </c:pt>
                <c:pt idx="5">
                  <c:v>1423467</c:v>
                </c:pt>
              </c:numCache>
            </c:numRef>
          </c:val>
          <c:smooth val="0"/>
          <c:extLst xmlns:c16r2="http://schemas.microsoft.com/office/drawing/2015/06/chart">
            <c:ext xmlns:c16="http://schemas.microsoft.com/office/drawing/2014/chart" uri="{C3380CC4-5D6E-409C-BE32-E72D297353CC}">
              <c16:uniqueId val="{00000001-740B-4454-8257-01B538079D7E}"/>
            </c:ext>
          </c:extLst>
        </c:ser>
        <c:ser>
          <c:idx val="2"/>
          <c:order val="2"/>
          <c:tx>
            <c:strRef>
              <c:f>Sheet1!$J$15:$J$16</c:f>
              <c:strCache>
                <c:ptCount val="1"/>
                <c:pt idx="0">
                  <c:v>Shoulder</c:v>
                </c:pt>
              </c:strCache>
            </c:strRef>
          </c:tx>
          <c:spPr>
            <a:ln w="28575" cap="rnd">
              <a:solidFill>
                <a:schemeClr val="accent3"/>
              </a:solidFill>
              <a:round/>
            </a:ln>
            <a:effectLst/>
          </c:spPr>
          <c:marker>
            <c:symbol val="none"/>
          </c:marker>
          <c:cat>
            <c:strRef>
              <c:f>Sheet1!$G$17:$G$23</c:f>
              <c:strCache>
                <c:ptCount val="6"/>
                <c:pt idx="0">
                  <c:v>City Stay</c:v>
                </c:pt>
                <c:pt idx="1">
                  <c:v>Hilltop Inn</c:v>
                </c:pt>
                <c:pt idx="2">
                  <c:v>Lake View Lodge</c:v>
                </c:pt>
                <c:pt idx="3">
                  <c:v>Royal Palace</c:v>
                </c:pt>
                <c:pt idx="4">
                  <c:v>Sea View Resort</c:v>
                </c:pt>
                <c:pt idx="5">
                  <c:v>Sunrise Hotel</c:v>
                </c:pt>
              </c:strCache>
            </c:strRef>
          </c:cat>
          <c:val>
            <c:numRef>
              <c:f>Sheet1!$J$17:$J$23</c:f>
              <c:numCache>
                <c:formatCode>#,##0</c:formatCode>
                <c:ptCount val="6"/>
                <c:pt idx="0">
                  <c:v>228678</c:v>
                </c:pt>
                <c:pt idx="1">
                  <c:v>1673465</c:v>
                </c:pt>
                <c:pt idx="2">
                  <c:v>975673</c:v>
                </c:pt>
                <c:pt idx="3">
                  <c:v>1109754</c:v>
                </c:pt>
                <c:pt idx="4">
                  <c:v>814742</c:v>
                </c:pt>
                <c:pt idx="5">
                  <c:v>1153448</c:v>
                </c:pt>
              </c:numCache>
            </c:numRef>
          </c:val>
          <c:smooth val="0"/>
          <c:extLst xmlns:c16r2="http://schemas.microsoft.com/office/drawing/2015/06/chart">
            <c:ext xmlns:c16="http://schemas.microsoft.com/office/drawing/2014/chart" uri="{C3380CC4-5D6E-409C-BE32-E72D297353CC}">
              <c16:uniqueId val="{00000002-740B-4454-8257-01B538079D7E}"/>
            </c:ext>
          </c:extLst>
        </c:ser>
        <c:dLbls>
          <c:showLegendKey val="0"/>
          <c:showVal val="0"/>
          <c:showCatName val="0"/>
          <c:showSerName val="0"/>
          <c:showPercent val="0"/>
          <c:showBubbleSize val="0"/>
        </c:dLbls>
        <c:smooth val="0"/>
        <c:axId val="295206456"/>
        <c:axId val="126926136"/>
      </c:lineChart>
      <c:catAx>
        <c:axId val="295206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6136"/>
        <c:crosses val="autoZero"/>
        <c:auto val="1"/>
        <c:lblAlgn val="ctr"/>
        <c:lblOffset val="100"/>
        <c:noMultiLvlLbl val="0"/>
      </c:catAx>
      <c:valAx>
        <c:axId val="126926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06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and Hospitality_PriyankaKumari.xlsx]Sheet1!PivotTable8</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Sheet1!$H$26</c:f>
              <c:strCache>
                <c:ptCount val="1"/>
                <c:pt idx="0">
                  <c:v>Sum of Rooms Booked</c:v>
                </c:pt>
              </c:strCache>
            </c:strRef>
          </c:tx>
          <c:spPr>
            <a:solidFill>
              <a:schemeClr val="accent1"/>
            </a:solidFill>
            <a:ln>
              <a:noFill/>
            </a:ln>
            <a:effectLst/>
            <a:sp3d/>
          </c:spPr>
          <c:invertIfNegative val="0"/>
          <c:cat>
            <c:strRef>
              <c:f>Sheet1!$G$27:$G$28</c:f>
              <c:strCache>
                <c:ptCount val="1"/>
                <c:pt idx="0">
                  <c:v>Sea View Resort</c:v>
                </c:pt>
              </c:strCache>
            </c:strRef>
          </c:cat>
          <c:val>
            <c:numRef>
              <c:f>Sheet1!$H$27:$H$28</c:f>
              <c:numCache>
                <c:formatCode>General</c:formatCode>
                <c:ptCount val="1"/>
                <c:pt idx="0">
                  <c:v>259</c:v>
                </c:pt>
              </c:numCache>
            </c:numRef>
          </c:val>
          <c:extLst xmlns:c16r2="http://schemas.microsoft.com/office/drawing/2015/06/chart">
            <c:ext xmlns:c16="http://schemas.microsoft.com/office/drawing/2014/chart" uri="{C3380CC4-5D6E-409C-BE32-E72D297353CC}">
              <c16:uniqueId val="{00000000-CB87-4509-84A3-E595CCCCC32C}"/>
            </c:ext>
          </c:extLst>
        </c:ser>
        <c:ser>
          <c:idx val="1"/>
          <c:order val="1"/>
          <c:tx>
            <c:strRef>
              <c:f>Sheet1!$I$26</c:f>
              <c:strCache>
                <c:ptCount val="1"/>
                <c:pt idx="0">
                  <c:v>Sum of Rooms Available</c:v>
                </c:pt>
              </c:strCache>
            </c:strRef>
          </c:tx>
          <c:spPr>
            <a:solidFill>
              <a:schemeClr val="accent2"/>
            </a:solidFill>
            <a:ln>
              <a:noFill/>
            </a:ln>
            <a:effectLst/>
            <a:sp3d/>
          </c:spPr>
          <c:invertIfNegative val="0"/>
          <c:cat>
            <c:strRef>
              <c:f>Sheet1!$G$27:$G$28</c:f>
              <c:strCache>
                <c:ptCount val="1"/>
                <c:pt idx="0">
                  <c:v>Sea View Resort</c:v>
                </c:pt>
              </c:strCache>
            </c:strRef>
          </c:cat>
          <c:val>
            <c:numRef>
              <c:f>Sheet1!$I$27:$I$28</c:f>
              <c:numCache>
                <c:formatCode>General</c:formatCode>
                <c:ptCount val="1"/>
                <c:pt idx="0">
                  <c:v>4450</c:v>
                </c:pt>
              </c:numCache>
            </c:numRef>
          </c:val>
          <c:extLst xmlns:c16r2="http://schemas.microsoft.com/office/drawing/2015/06/chart">
            <c:ext xmlns:c16="http://schemas.microsoft.com/office/drawing/2014/chart" uri="{C3380CC4-5D6E-409C-BE32-E72D297353CC}">
              <c16:uniqueId val="{00000001-CB87-4509-84A3-E595CCCCC32C}"/>
            </c:ext>
          </c:extLst>
        </c:ser>
        <c:dLbls>
          <c:showLegendKey val="0"/>
          <c:showVal val="0"/>
          <c:showCatName val="0"/>
          <c:showSerName val="0"/>
          <c:showPercent val="0"/>
          <c:showBubbleSize val="0"/>
        </c:dLbls>
        <c:gapWidth val="150"/>
        <c:shape val="box"/>
        <c:axId val="39117248"/>
        <c:axId val="296345888"/>
        <c:axId val="0"/>
      </c:bar3DChart>
      <c:catAx>
        <c:axId val="39117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345888"/>
        <c:crosses val="autoZero"/>
        <c:auto val="1"/>
        <c:lblAlgn val="ctr"/>
        <c:lblOffset val="100"/>
        <c:noMultiLvlLbl val="0"/>
      </c:catAx>
      <c:valAx>
        <c:axId val="29634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7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and Hospitality_PriyankaKumari.xlsx]Sheet1!PivotTable9</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85103780837236"/>
          <c:y val="2.5593412746110263E-2"/>
          <c:w val="0.40390029876301631"/>
          <c:h val="0.70936185794491002"/>
        </c:manualLayout>
      </c:layout>
      <c:bar3DChart>
        <c:barDir val="col"/>
        <c:grouping val="standard"/>
        <c:varyColors val="0"/>
        <c:ser>
          <c:idx val="0"/>
          <c:order val="0"/>
          <c:tx>
            <c:strRef>
              <c:f>Sheet1!$F$31</c:f>
              <c:strCache>
                <c:ptCount val="1"/>
                <c:pt idx="0">
                  <c:v>Sum of Revenue</c:v>
                </c:pt>
              </c:strCache>
            </c:strRef>
          </c:tx>
          <c:spPr>
            <a:solidFill>
              <a:schemeClr val="accent1"/>
            </a:solidFill>
            <a:ln>
              <a:noFill/>
            </a:ln>
            <a:effectLst/>
            <a:sp3d/>
          </c:spPr>
          <c:invertIfNegative val="0"/>
          <c:cat>
            <c:strRef>
              <c:f>Sheet1!$E$32:$E$37</c:f>
              <c:strCache>
                <c:ptCount val="5"/>
                <c:pt idx="0">
                  <c:v>Cash</c:v>
                </c:pt>
                <c:pt idx="1">
                  <c:v>Credit Card</c:v>
                </c:pt>
                <c:pt idx="2">
                  <c:v>Debit Card</c:v>
                </c:pt>
                <c:pt idx="3">
                  <c:v>Net Banking</c:v>
                </c:pt>
                <c:pt idx="4">
                  <c:v>UPI</c:v>
                </c:pt>
              </c:strCache>
            </c:strRef>
          </c:cat>
          <c:val>
            <c:numRef>
              <c:f>Sheet1!$F$32:$F$37</c:f>
              <c:numCache>
                <c:formatCode>General</c:formatCode>
                <c:ptCount val="5"/>
                <c:pt idx="0">
                  <c:v>1610589</c:v>
                </c:pt>
                <c:pt idx="1">
                  <c:v>610797</c:v>
                </c:pt>
                <c:pt idx="2">
                  <c:v>814105</c:v>
                </c:pt>
                <c:pt idx="3">
                  <c:v>902900</c:v>
                </c:pt>
                <c:pt idx="4">
                  <c:v>729587</c:v>
                </c:pt>
              </c:numCache>
            </c:numRef>
          </c:val>
          <c:extLst xmlns:c16r2="http://schemas.microsoft.com/office/drawing/2015/06/chart">
            <c:ext xmlns:c16="http://schemas.microsoft.com/office/drawing/2014/chart" uri="{C3380CC4-5D6E-409C-BE32-E72D297353CC}">
              <c16:uniqueId val="{00000000-60F8-46EF-8336-66D717F942C9}"/>
            </c:ext>
          </c:extLst>
        </c:ser>
        <c:ser>
          <c:idx val="1"/>
          <c:order val="1"/>
          <c:tx>
            <c:strRef>
              <c:f>Sheet1!$G$31</c:f>
              <c:strCache>
                <c:ptCount val="1"/>
                <c:pt idx="0">
                  <c:v>Sum of Net Revenue</c:v>
                </c:pt>
              </c:strCache>
            </c:strRef>
          </c:tx>
          <c:spPr>
            <a:solidFill>
              <a:schemeClr val="accent2"/>
            </a:solidFill>
            <a:ln>
              <a:noFill/>
            </a:ln>
            <a:effectLst/>
            <a:sp3d/>
          </c:spPr>
          <c:invertIfNegative val="0"/>
          <c:cat>
            <c:strRef>
              <c:f>Sheet1!$E$32:$E$37</c:f>
              <c:strCache>
                <c:ptCount val="5"/>
                <c:pt idx="0">
                  <c:v>Cash</c:v>
                </c:pt>
                <c:pt idx="1">
                  <c:v>Credit Card</c:v>
                </c:pt>
                <c:pt idx="2">
                  <c:v>Debit Card</c:v>
                </c:pt>
                <c:pt idx="3">
                  <c:v>Net Banking</c:v>
                </c:pt>
                <c:pt idx="4">
                  <c:v>UPI</c:v>
                </c:pt>
              </c:strCache>
            </c:strRef>
          </c:cat>
          <c:val>
            <c:numRef>
              <c:f>Sheet1!$G$32:$G$37</c:f>
              <c:numCache>
                <c:formatCode>General</c:formatCode>
                <c:ptCount val="5"/>
                <c:pt idx="0">
                  <c:v>1453512.7000000002</c:v>
                </c:pt>
                <c:pt idx="1">
                  <c:v>567988.4</c:v>
                </c:pt>
                <c:pt idx="2">
                  <c:v>760489.45000000007</c:v>
                </c:pt>
                <c:pt idx="3">
                  <c:v>858773.7</c:v>
                </c:pt>
                <c:pt idx="4">
                  <c:v>676973.04999999993</c:v>
                </c:pt>
              </c:numCache>
            </c:numRef>
          </c:val>
          <c:extLst xmlns:c16r2="http://schemas.microsoft.com/office/drawing/2015/06/chart">
            <c:ext xmlns:c16="http://schemas.microsoft.com/office/drawing/2014/chart" uri="{C3380CC4-5D6E-409C-BE32-E72D297353CC}">
              <c16:uniqueId val="{00000001-60F8-46EF-8336-66D717F942C9}"/>
            </c:ext>
          </c:extLst>
        </c:ser>
        <c:dLbls>
          <c:showLegendKey val="0"/>
          <c:showVal val="0"/>
          <c:showCatName val="0"/>
          <c:showSerName val="0"/>
          <c:showPercent val="0"/>
          <c:showBubbleSize val="0"/>
        </c:dLbls>
        <c:gapWidth val="150"/>
        <c:shape val="box"/>
        <c:axId val="296309384"/>
        <c:axId val="296974112"/>
        <c:axId val="296480680"/>
      </c:bar3DChart>
      <c:catAx>
        <c:axId val="296309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74112"/>
        <c:crosses val="autoZero"/>
        <c:auto val="1"/>
        <c:lblAlgn val="ctr"/>
        <c:lblOffset val="100"/>
        <c:noMultiLvlLbl val="0"/>
      </c:catAx>
      <c:valAx>
        <c:axId val="29697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309384"/>
        <c:crosses val="autoZero"/>
        <c:crossBetween val="between"/>
      </c:valAx>
      <c:serAx>
        <c:axId val="2964806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74112"/>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and Hospitality_PriyankaKumari.xlsx]Sheet1!PivotTable4</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Rooms Booked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Sheet1!$E$4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1-366B-4FC6-A015-8F0E0BB7C402}"/>
              </c:ext>
            </c:extLst>
          </c:dPt>
          <c:dPt>
            <c:idx val="1"/>
            <c:bubble3D val="0"/>
            <c:spPr>
              <a:solidFill>
                <a:schemeClr val="accent2"/>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3-366B-4FC6-A015-8F0E0BB7C402}"/>
              </c:ext>
            </c:extLst>
          </c:dPt>
          <c:dPt>
            <c:idx val="2"/>
            <c:bubble3D val="0"/>
            <c:spPr>
              <a:solidFill>
                <a:schemeClr val="accent3"/>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5-366B-4FC6-A015-8F0E0BB7C402}"/>
              </c:ext>
            </c:extLst>
          </c:dPt>
          <c:dPt>
            <c:idx val="3"/>
            <c:bubble3D val="0"/>
            <c:spPr>
              <a:solidFill>
                <a:schemeClr val="accent4"/>
              </a:solidFill>
              <a:ln w="25400">
                <a:solidFill>
                  <a:schemeClr val="lt1"/>
                </a:solidFill>
              </a:ln>
              <a:effectLst/>
              <a:sp3d contourW="25400">
                <a:contourClr>
                  <a:schemeClr val="lt1"/>
                </a:contourClr>
              </a:sp3d>
            </c:spPr>
            <c:extLst xmlns:c16r2="http://schemas.microsoft.com/office/drawing/2015/06/chart">
              <c:ext xmlns:c16="http://schemas.microsoft.com/office/drawing/2014/chart" uri="{C3380CC4-5D6E-409C-BE32-E72D297353CC}">
                <c16:uniqueId val="{00000007-366B-4FC6-A015-8F0E0BB7C4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Sheet1!$D$5:$D$9</c:f>
              <c:strCache>
                <c:ptCount val="4"/>
                <c:pt idx="0">
                  <c:v>Corporate</c:v>
                </c:pt>
                <c:pt idx="1">
                  <c:v>Couple</c:v>
                </c:pt>
                <c:pt idx="2">
                  <c:v>Family</c:v>
                </c:pt>
                <c:pt idx="3">
                  <c:v>Individual</c:v>
                </c:pt>
              </c:strCache>
            </c:strRef>
          </c:cat>
          <c:val>
            <c:numRef>
              <c:f>Sheet1!$E$5:$E$9</c:f>
              <c:numCache>
                <c:formatCode>General</c:formatCode>
                <c:ptCount val="4"/>
                <c:pt idx="0">
                  <c:v>131</c:v>
                </c:pt>
                <c:pt idx="1">
                  <c:v>83</c:v>
                </c:pt>
                <c:pt idx="2">
                  <c:v>113</c:v>
                </c:pt>
                <c:pt idx="3">
                  <c:v>107</c:v>
                </c:pt>
              </c:numCache>
            </c:numRef>
          </c:val>
          <c:extLst xmlns:c16r2="http://schemas.microsoft.com/office/drawing/2015/06/chart">
            <c:ext xmlns:c16="http://schemas.microsoft.com/office/drawing/2014/chart" uri="{C3380CC4-5D6E-409C-BE32-E72D297353CC}">
              <c16:uniqueId val="{00000008-366B-4FC6-A015-8F0E0BB7C402}"/>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304800</xdr:colOff>
      <xdr:row>20</xdr:row>
      <xdr:rowOff>0</xdr:rowOff>
    </xdr:to>
    <xdr:graphicFrame macro="">
      <xdr:nvGraphicFramePr>
        <xdr:cNvPr id="2" name="Chart 1">
          <a:extLst>
            <a:ext uri="{FF2B5EF4-FFF2-40B4-BE49-F238E27FC236}">
              <a16:creationId xmlns="" xmlns:a16="http://schemas.microsoft.com/office/drawing/2014/main" id="{8C0DE6BE-93B9-4F99-A0FE-98E484826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xdr:row>
      <xdr:rowOff>0</xdr:rowOff>
    </xdr:from>
    <xdr:to>
      <xdr:col>15</xdr:col>
      <xdr:colOff>304800</xdr:colOff>
      <xdr:row>20</xdr:row>
      <xdr:rowOff>0</xdr:rowOff>
    </xdr:to>
    <xdr:graphicFrame macro="">
      <xdr:nvGraphicFramePr>
        <xdr:cNvPr id="3" name="Chart 2">
          <a:extLst>
            <a:ext uri="{FF2B5EF4-FFF2-40B4-BE49-F238E27FC236}">
              <a16:creationId xmlns="" xmlns:a16="http://schemas.microsoft.com/office/drawing/2014/main" id="{9CB015E4-3025-4DB8-9CD7-E3C35AB18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7</xdr:col>
      <xdr:colOff>304800</xdr:colOff>
      <xdr:row>37</xdr:row>
      <xdr:rowOff>0</xdr:rowOff>
    </xdr:to>
    <xdr:graphicFrame macro="">
      <xdr:nvGraphicFramePr>
        <xdr:cNvPr id="4" name="Chart 3">
          <a:extLst>
            <a:ext uri="{FF2B5EF4-FFF2-40B4-BE49-F238E27FC236}">
              <a16:creationId xmlns="" xmlns:a16="http://schemas.microsoft.com/office/drawing/2014/main" id="{0DC1C820-815D-41B5-A8B7-8F336B2C9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22</xdr:row>
      <xdr:rowOff>0</xdr:rowOff>
    </xdr:from>
    <xdr:to>
      <xdr:col>15</xdr:col>
      <xdr:colOff>304800</xdr:colOff>
      <xdr:row>37</xdr:row>
      <xdr:rowOff>0</xdr:rowOff>
    </xdr:to>
    <xdr:graphicFrame macro="">
      <xdr:nvGraphicFramePr>
        <xdr:cNvPr id="5" name="Chart 4">
          <a:extLst>
            <a:ext uri="{FF2B5EF4-FFF2-40B4-BE49-F238E27FC236}">
              <a16:creationId xmlns="" xmlns:a16="http://schemas.microsoft.com/office/drawing/2014/main" id="{7E701F09-2873-4EEA-8918-329A1CA86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586740</xdr:colOff>
      <xdr:row>12</xdr:row>
      <xdr:rowOff>106680</xdr:rowOff>
    </xdr:from>
    <xdr:to>
      <xdr:col>18</xdr:col>
      <xdr:colOff>586740</xdr:colOff>
      <xdr:row>26</xdr:row>
      <xdr:rowOff>18416</xdr:rowOff>
    </xdr:to>
    <mc:AlternateContent xmlns:mc="http://schemas.openxmlformats.org/markup-compatibility/2006" xmlns:a14="http://schemas.microsoft.com/office/drawing/2010/main">
      <mc:Choice Requires="a14">
        <xdr:graphicFrame macro="">
          <xdr:nvGraphicFramePr>
            <xdr:cNvPr id="10" name="Hotel Name 1">
              <a:extLst>
                <a:ext uri="{FF2B5EF4-FFF2-40B4-BE49-F238E27FC236}">
                  <a16:creationId xmlns="" xmlns:a16="http://schemas.microsoft.com/office/drawing/2014/main" id="{19999C52-E40C-1CB3-0BB3-8D449D18DCA0}"/>
                </a:ext>
              </a:extLst>
            </xdr:cNvPr>
            <xdr:cNvGraphicFramePr/>
          </xdr:nvGraphicFramePr>
          <xdr:xfrm>
            <a:off x="0" y="0"/>
            <a:ext cx="0" cy="0"/>
          </xdr:xfrm>
          <a:graphic>
            <a:graphicData uri="http://schemas.microsoft.com/office/drawing/2010/slicer">
              <sle:slicer xmlns:sle="http://schemas.microsoft.com/office/drawing/2010/slicer" name="Hotel Name 1"/>
            </a:graphicData>
          </a:graphic>
        </xdr:graphicFrame>
      </mc:Choice>
      <mc:Fallback xmlns="">
        <xdr:sp macro="" textlink="">
          <xdr:nvSpPr>
            <xdr:cNvPr id="0" name=""/>
            <xdr:cNvSpPr>
              <a:spLocks noTextEdit="1"/>
            </xdr:cNvSpPr>
          </xdr:nvSpPr>
          <xdr:spPr>
            <a:xfrm>
              <a:off x="9730740" y="1529080"/>
              <a:ext cx="1828800" cy="2400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28</xdr:row>
      <xdr:rowOff>0</xdr:rowOff>
    </xdr:from>
    <xdr:to>
      <xdr:col>23</xdr:col>
      <xdr:colOff>290763</xdr:colOff>
      <xdr:row>43</xdr:row>
      <xdr:rowOff>36094</xdr:rowOff>
    </xdr:to>
    <xdr:graphicFrame macro="">
      <xdr:nvGraphicFramePr>
        <xdr:cNvPr id="12" name="Chart 11">
          <a:extLst>
            <a:ext uri="{FF2B5EF4-FFF2-40B4-BE49-F238E27FC236}">
              <a16:creationId xmlns="" xmlns:a16="http://schemas.microsoft.com/office/drawing/2014/main" id="{F61DE97C-7AA7-444B-A9ED-EC2C6A287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39</xdr:row>
      <xdr:rowOff>0</xdr:rowOff>
    </xdr:from>
    <xdr:to>
      <xdr:col>7</xdr:col>
      <xdr:colOff>290763</xdr:colOff>
      <xdr:row>54</xdr:row>
      <xdr:rowOff>36095</xdr:rowOff>
    </xdr:to>
    <xdr:graphicFrame macro="">
      <xdr:nvGraphicFramePr>
        <xdr:cNvPr id="13" name="Chart 12">
          <a:extLst>
            <a:ext uri="{FF2B5EF4-FFF2-40B4-BE49-F238E27FC236}">
              <a16:creationId xmlns="" xmlns:a16="http://schemas.microsoft.com/office/drawing/2014/main" id="{41885C64-779C-4F83-AC9D-D1DAECD79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316900</xdr:colOff>
      <xdr:row>38</xdr:row>
      <xdr:rowOff>178732</xdr:rowOff>
    </xdr:from>
    <xdr:to>
      <xdr:col>9</xdr:col>
      <xdr:colOff>262759</xdr:colOff>
      <xdr:row>47</xdr:row>
      <xdr:rowOff>31532</xdr:rowOff>
    </xdr:to>
    <mc:AlternateContent xmlns:mc="http://schemas.openxmlformats.org/markup-compatibility/2006" xmlns:a14="http://schemas.microsoft.com/office/drawing/2010/main">
      <mc:Choice Requires="a14">
        <xdr:graphicFrame macro="">
          <xdr:nvGraphicFramePr>
            <xdr:cNvPr id="15" name="Season">
              <a:extLst>
                <a:ext uri="{FF2B5EF4-FFF2-40B4-BE49-F238E27FC236}">
                  <a16:creationId xmlns="" xmlns:a16="http://schemas.microsoft.com/office/drawing/2014/main" id="{4C4B9640-DE45-716E-26C8-A4F0F7B959C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584100" y="6223932"/>
              <a:ext cx="1165059" cy="1453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426720</xdr:colOff>
      <xdr:row>14</xdr:row>
      <xdr:rowOff>7620</xdr:rowOff>
    </xdr:from>
    <xdr:to>
      <xdr:col>4</xdr:col>
      <xdr:colOff>937260</xdr:colOff>
      <xdr:row>28</xdr:row>
      <xdr:rowOff>30480</xdr:rowOff>
    </xdr:to>
    <mc:AlternateContent xmlns:mc="http://schemas.openxmlformats.org/markup-compatibility/2006" xmlns:a14="http://schemas.microsoft.com/office/drawing/2010/main">
      <mc:Choice Requires="a14">
        <xdr:graphicFrame macro="">
          <xdr:nvGraphicFramePr>
            <xdr:cNvPr id="12" name="Hotel Name">
              <a:extLst>
                <a:ext uri="{FF2B5EF4-FFF2-40B4-BE49-F238E27FC236}">
                  <a16:creationId xmlns="" xmlns:a16="http://schemas.microsoft.com/office/drawing/2014/main" id="{5F4CE226-F26B-F0F8-974F-48D3511B1D8D}"/>
                </a:ext>
              </a:extLst>
            </xdr:cNvPr>
            <xdr:cNvGraphicFramePr/>
          </xdr:nvGraphicFramePr>
          <xdr:xfrm>
            <a:off x="0" y="0"/>
            <a:ext cx="0" cy="0"/>
          </xdr:xfrm>
          <a:graphic>
            <a:graphicData uri="http://schemas.microsoft.com/office/drawing/2010/slicer">
              <sle:slicer xmlns:sle="http://schemas.microsoft.com/office/drawing/2010/slicer" name="Hotel Name"/>
            </a:graphicData>
          </a:graphic>
        </xdr:graphicFrame>
      </mc:Choice>
      <mc:Fallback xmlns="">
        <xdr:sp macro="" textlink="">
          <xdr:nvSpPr>
            <xdr:cNvPr id="0" name=""/>
            <xdr:cNvSpPr>
              <a:spLocks noTextEdit="1"/>
            </xdr:cNvSpPr>
          </xdr:nvSpPr>
          <xdr:spPr>
            <a:xfrm>
              <a:off x="2308860" y="2567940"/>
              <a:ext cx="2019300" cy="258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IV KUMAR" refreshedDate="46109.745857175927" createdVersion="8" refreshedVersion="8" minRefreshableVersion="3" recordCount="500">
  <cacheSource type="worksheet">
    <worksheetSource name="Table1"/>
  </cacheSource>
  <cacheFields count="17">
    <cacheField name="Hotel Name" numFmtId="0">
      <sharedItems count="6">
        <s v="Lake View Lodge"/>
        <s v="Sea View Resort"/>
        <s v="Hilltop Inn"/>
        <s v="Sunrise Hotel"/>
        <s v="Royal Palace"/>
        <s v="City Stay"/>
      </sharedItems>
    </cacheField>
    <cacheField name="Room Type" numFmtId="0">
      <sharedItems count="3">
        <s v="Deluxe"/>
        <s v="Standard"/>
        <s v="Suite"/>
      </sharedItems>
    </cacheField>
    <cacheField name="Booking Date" numFmtId="0">
      <sharedItems count="267">
        <s v="16/11/2025"/>
        <s v="17/12/2025"/>
        <s v="10/06/2025"/>
        <s v="02/02/2025"/>
        <s v="24/02/2025"/>
        <s v="11/11/2025"/>
        <s v="01/06/2025"/>
        <s v="22/07/2025"/>
        <s v="18/07/2025"/>
        <s v="19/04/2025"/>
        <s v="07/06/2025"/>
        <s v="23/01/2025"/>
        <s v="13/12/2025"/>
        <s v="10/02/2025"/>
        <s v="22/05/2025"/>
        <s v="15/08/2025"/>
        <s v="19/02/2025"/>
        <s v="06/10/2025"/>
        <s v="27/03/2025"/>
        <s v="16/12/2025"/>
        <s v="21/06/2025"/>
        <s v="22/09/2025"/>
        <s v="11/05/2025"/>
        <s v="21/02/2025"/>
        <s v="13/11/2025"/>
        <s v="12/08/2025"/>
        <s v="24/05/2025"/>
        <s v="04/06/2025"/>
        <s v="08/05/2025"/>
        <s v="26/07/2025"/>
        <s v="10/08/2025"/>
        <s v="02/06/2025"/>
        <s v="16/05/2025"/>
        <s v="08/10/2025"/>
        <s v="01/10/2025"/>
        <s v="06/06/2025"/>
        <s v="07/05/2025"/>
        <s v="28/08/2025"/>
        <s v="08/07/2025"/>
        <s v="15/04/2025"/>
        <s v="20/11/2025"/>
        <s v="21/03/2025"/>
        <s v="15/01/2025"/>
        <s v="09/06/2025"/>
        <s v="21/04/2025"/>
        <s v="05/08/2025"/>
        <s v="26/10/2025"/>
        <s v="04/08/2025"/>
        <s v="18/02/2025"/>
        <s v="28/06/2025"/>
        <s v="03/03/2025"/>
        <s v="23/09/2025"/>
        <s v="19/09/2025"/>
        <s v="06/09/2025"/>
        <s v="06/05/2025"/>
        <s v="01/11/2025"/>
        <s v="03/07/2025"/>
        <s v="25/03/2025"/>
        <s v="24/01/2025"/>
        <s v="21/08/2025"/>
        <s v="25/06/2025"/>
        <s v="06/01/2025"/>
        <s v="09/12/2025"/>
        <s v="17/05/2025"/>
        <s v="25/01/2025"/>
        <s v="15/02/2025"/>
        <s v="30/05/2025"/>
        <s v="29/01/2025"/>
        <s v="01/02/2025"/>
        <s v="13/01/2025"/>
        <s v="08/11/2025"/>
        <s v="22/02/2025"/>
        <s v="30/10/2025"/>
        <s v="05/05/2025"/>
        <s v="02/09/2025"/>
        <s v="23/04/2025"/>
        <s v="24/06/2025"/>
        <s v="13/02/2025"/>
        <s v="24/03/2025"/>
        <s v="28/02/2025"/>
        <s v="03/05/2025"/>
        <s v="17/06/2025"/>
        <s v="09/05/2025"/>
        <s v="27/05/2025"/>
        <s v="30/11/2025"/>
        <s v="15/06/2025"/>
        <s v="07/08/2025"/>
        <s v="29/07/2025"/>
        <s v="28/01/2025"/>
        <s v="01/05/2025"/>
        <s v="18/05/2025"/>
        <s v="13/07/2025"/>
        <s v="17/10/2025"/>
        <s v="03/04/2025"/>
        <s v="12/02/2025"/>
        <s v="19/11/2025"/>
        <s v="25/05/2025"/>
        <s v="08/08/2025"/>
        <s v="16/08/2025"/>
        <s v="11/12/2025"/>
        <s v="14/10/2025"/>
        <s v="23/07/2025"/>
        <s v="19/06/2025"/>
        <s v="13/10/2025"/>
        <s v="17/11/2025"/>
        <s v="22/06/2025"/>
        <s v="13/06/2025"/>
        <s v="19/12/2025"/>
        <s v="28/05/2025"/>
        <s v="29/04/2025"/>
        <s v="07/11/2025"/>
        <s v="06/07/2025"/>
        <s v="05/02/2025"/>
        <s v="29/09/2025"/>
        <s v="05/03/2025"/>
        <s v="05/12/2025"/>
        <s v="14/09/2025"/>
        <s v="09/11/2025"/>
        <s v="21/11/2025"/>
        <s v="10/10/2025"/>
        <s v="12/10/2025"/>
        <s v="15/03/2025"/>
        <s v="18/03/2025"/>
        <s v="18/10/2025"/>
        <s v="10/05/2025"/>
        <s v="09/02/2025"/>
        <s v="30/03/2025"/>
        <s v="25/12/2025"/>
        <s v="18/04/2025"/>
        <s v="13/08/2025"/>
        <s v="05/10/2025"/>
        <s v="14/03/2025"/>
        <s v="14/01/2025"/>
        <s v="16/10/2025"/>
        <s v="05/11/2025"/>
        <s v="07/12/2025"/>
        <s v="03/12/2025"/>
        <s v="29/08/2025"/>
        <s v="14/02/2025"/>
        <s v="01/04/2025"/>
        <s v="31/08/2025"/>
        <s v="01/08/2025"/>
        <s v="05/01/2025"/>
        <s v="15/10/2025"/>
        <s v="18/01/2025"/>
        <s v="11/03/2025"/>
        <s v="23/03/2025"/>
        <s v="04/09/2025"/>
        <s v="28/09/2025"/>
        <s v="06/11/2025"/>
        <s v="26/09/2025"/>
        <s v="14/07/2025"/>
        <s v="16/03/2025"/>
        <s v="28/07/2025"/>
        <s v="08/12/2025"/>
        <s v="10/09/2025"/>
        <s v="03/02/2025"/>
        <s v="16/09/2025"/>
        <s v="25/07/2025"/>
        <s v="23/05/2025"/>
        <s v="14/05/2025"/>
        <s v="23/06/2025"/>
        <s v="17/07/2025"/>
        <s v="11/07/2025"/>
        <s v="26/01/2025"/>
        <s v="19/05/2025"/>
        <s v="26/02/2025"/>
        <s v="07/10/2025"/>
        <s v="19/07/2025"/>
        <s v="30/08/2025"/>
        <s v="09/09/2025"/>
        <s v="02/05/2025"/>
        <s v="02/01/2025"/>
        <s v="18/12/2025"/>
        <s v="17/03/2025"/>
        <s v="28/03/2025"/>
        <s v="22/03/2025"/>
        <s v="11/06/2025"/>
        <s v="26/11/2025"/>
        <s v="24/04/2025"/>
        <s v="20/10/2025"/>
        <s v="29/05/2025"/>
        <s v="01/09/2025"/>
        <s v="21/05/2025"/>
        <s v="20/03/2025"/>
        <s v="15/11/2025"/>
        <s v="22/10/2025"/>
        <s v="08/03/2025"/>
        <s v="14/08/2025"/>
        <s v="30/04/2025"/>
        <s v="27/07/2025"/>
        <s v="22/08/2025"/>
        <s v="03/09/2025"/>
        <s v="27/01/2025"/>
        <s v="08/04/2025"/>
        <s v="22/12/2025"/>
        <s v="28/04/2025"/>
        <s v="31/05/2025"/>
        <s v="09/01/2025"/>
        <s v="29/06/2025"/>
        <s v="24/07/2025"/>
        <s v="12/06/2025"/>
        <s v="20/07/2025"/>
        <s v="22/01/2025"/>
        <s v="16/06/2025"/>
        <s v="25/10/2025"/>
        <s v="17/01/2025"/>
        <s v="16/04/2025"/>
        <s v="20/05/2025"/>
        <s v="03/08/2025"/>
        <s v="14/11/2025"/>
        <s v="06/08/2025"/>
        <s v="15/07/2025"/>
        <s v="12/07/2025"/>
        <s v="08/01/2025"/>
        <s v="07/02/2025"/>
        <s v="29/03/2025"/>
        <s v="18/06/2025"/>
        <s v="03/06/2025"/>
        <s v="23/12/2025"/>
        <s v="12/03/2025"/>
        <s v="13/05/2025"/>
        <s v="06/03/2025"/>
        <s v="11/02/2025"/>
        <s v="20/02/2025"/>
        <s v="20/12/2025"/>
        <s v="24/12/2025"/>
        <s v="23/11/2025"/>
        <s v="19/01/2025"/>
        <s v="09/07/2025"/>
        <s v="26/05/2025"/>
        <s v="22/11/2025"/>
        <s v="31/10/2025"/>
        <s v="15/09/2025"/>
        <s v="06/12/2025"/>
        <s v="11/08/2025"/>
        <s v="23/02/2025"/>
        <s v="10/03/2025"/>
        <s v="12/04/2025"/>
        <s v="19/08/2025"/>
        <s v="05/09/2025"/>
        <s v="02/12/2025"/>
        <s v="03/10/2025"/>
        <s v="29/11/2025"/>
        <s v="28/12/2025"/>
        <s v="26/08/2025"/>
        <s v="12/09/2025"/>
        <s v="05/04/2025"/>
        <s v="04/05/2025"/>
        <s v="08/09/2025"/>
        <s v="13/03/2025"/>
        <s v="30/07/2025"/>
        <s v="07/01/2025"/>
        <s v="19/03/2025"/>
        <s v="08/02/2025"/>
        <s v="11/01/2025"/>
        <s v="08/06/2025"/>
        <s v="16/02/2025"/>
        <s v="22/04/2025"/>
        <s v="17/09/2025"/>
        <s v="10/01/2025"/>
        <s v="04/12/2025"/>
        <s v="20/08/2025"/>
        <s v="07/07/2025"/>
        <s v="31/03/2025"/>
        <s v="25/11/2025"/>
        <s v="05/06/2025"/>
      </sharedItems>
    </cacheField>
    <cacheField name="Revenue" numFmtId="0">
      <sharedItems containsSemiMixedTypes="0" containsString="0" containsNumber="1" containsInteger="1" minValue="0" maxValue="297160" count="428">
        <n v="92840"/>
        <n v="44598"/>
        <n v="48552"/>
        <n v="105192"/>
        <n v="199560"/>
        <n v="26958"/>
        <n v="53788"/>
        <n v="100080"/>
        <n v="289360"/>
        <n v="40080"/>
        <n v="43464"/>
        <n v="245140"/>
        <n v="55576"/>
        <n v="51595"/>
        <n v="0"/>
        <n v="16980"/>
        <n v="141732"/>
        <n v="32394"/>
        <n v="22328"/>
        <n v="10298"/>
        <n v="199072"/>
        <n v="8260"/>
        <n v="26682"/>
        <n v="159140"/>
        <n v="20112"/>
        <n v="211840"/>
        <n v="124677"/>
        <n v="116073"/>
        <n v="35469"/>
        <n v="92220"/>
        <n v="9105"/>
        <n v="29932"/>
        <n v="45520"/>
        <n v="20285"/>
        <n v="49820"/>
        <n v="212340"/>
        <n v="73284"/>
        <n v="56132"/>
        <n v="13122"/>
        <n v="42630"/>
        <n v="12858"/>
        <n v="20088"/>
        <n v="120016"/>
        <n v="72880"/>
        <n v="24836"/>
        <n v="39204"/>
        <n v="36700"/>
        <n v="4139"/>
        <n v="57876"/>
        <n v="81144"/>
        <n v="56945"/>
        <n v="27306"/>
        <n v="27222"/>
        <n v="21794"/>
        <n v="35040"/>
        <n v="27964"/>
        <n v="100572"/>
        <n v="13930"/>
        <n v="113360"/>
        <n v="14608"/>
        <n v="16832"/>
        <n v="35652"/>
        <n v="132800"/>
        <n v="10499"/>
        <n v="21441"/>
        <n v="297160"/>
        <n v="56034"/>
        <n v="73917"/>
        <n v="8120"/>
        <n v="16443"/>
        <n v="59082"/>
        <n v="20920"/>
        <n v="39544"/>
        <n v="27088"/>
        <n v="179160"/>
        <n v="134330"/>
        <n v="120468"/>
        <n v="75525"/>
        <n v="38724"/>
        <n v="137330"/>
        <n v="64494"/>
        <n v="41184"/>
        <n v="29692"/>
        <n v="22756"/>
        <n v="75744"/>
        <n v="165680"/>
        <n v="168990"/>
        <n v="96832"/>
        <n v="199110"/>
        <n v="20572"/>
        <n v="43232"/>
        <n v="120240"/>
        <n v="60075"/>
        <n v="31365"/>
        <n v="106995"/>
        <n v="66110"/>
        <n v="134307"/>
        <n v="34772"/>
        <n v="16756"/>
        <n v="47898"/>
        <n v="92190"/>
        <n v="72630"/>
        <n v="71760"/>
        <n v="38976"/>
        <n v="26990"/>
        <n v="31080"/>
        <n v="84856"/>
        <n v="56268"/>
        <n v="11088"/>
        <n v="43136"/>
        <n v="39130"/>
        <n v="49155"/>
        <n v="70220"/>
        <n v="160080"/>
        <n v="35778"/>
        <n v="187920"/>
        <n v="107168"/>
        <n v="85680"/>
        <n v="50720"/>
        <n v="63438"/>
        <n v="96100"/>
        <n v="43758"/>
        <n v="123651"/>
        <n v="8366"/>
        <n v="28437"/>
        <n v="49792"/>
        <n v="21736"/>
        <n v="13336"/>
        <n v="89064"/>
        <n v="39090"/>
        <n v="21704"/>
        <n v="211536"/>
        <n v="65754"/>
        <n v="111564"/>
        <n v="40384"/>
        <n v="59610"/>
        <n v="24385"/>
        <n v="126912"/>
        <n v="26172"/>
        <n v="136020"/>
        <n v="80484"/>
        <n v="66276"/>
        <n v="16052"/>
        <n v="23116"/>
        <n v="19902"/>
        <n v="61170"/>
        <n v="42981"/>
        <n v="87651"/>
        <n v="61992"/>
        <n v="33376"/>
        <n v="30258"/>
        <n v="40805"/>
        <n v="23904"/>
        <n v="14540"/>
        <n v="4134"/>
        <n v="30288"/>
        <n v="31602"/>
        <n v="79260"/>
        <n v="42558"/>
        <n v="156080"/>
        <n v="173340"/>
        <n v="110912"/>
        <n v="23396"/>
        <n v="42636"/>
        <n v="17970"/>
        <n v="96300"/>
        <n v="101007"/>
        <n v="162276"/>
        <n v="251020"/>
        <n v="62180"/>
        <n v="49904"/>
        <n v="80320"/>
        <n v="26150"/>
        <n v="179632"/>
        <n v="38008"/>
        <n v="9844"/>
        <n v="122608"/>
        <n v="47490"/>
        <n v="14802"/>
        <n v="60162"/>
        <n v="18504"/>
        <n v="26280"/>
        <n v="147456"/>
        <n v="27798"/>
        <n v="116412"/>
        <n v="124680"/>
        <n v="6033"/>
        <n v="136764"/>
        <n v="112464"/>
        <n v="57496"/>
        <n v="37035"/>
        <n v="211952"/>
        <n v="128510"/>
        <n v="45104"/>
        <n v="44781"/>
        <n v="26268"/>
        <n v="123610"/>
        <n v="12772"/>
        <n v="89792"/>
        <n v="280380"/>
        <n v="37659"/>
        <n v="77160"/>
        <n v="86874"/>
        <n v="65472"/>
        <n v="84368"/>
        <n v="224820"/>
        <n v="4678"/>
        <n v="54040"/>
        <n v="53868"/>
        <n v="39560"/>
        <n v="13254"/>
        <n v="82323"/>
        <n v="16311"/>
        <n v="29996"/>
        <n v="42732"/>
        <n v="10968"/>
        <n v="26116"/>
        <n v="105795"/>
        <n v="54099"/>
        <n v="98640"/>
        <n v="69804"/>
        <n v="28232"/>
        <n v="18536"/>
        <n v="135420"/>
        <n v="134328"/>
        <n v="19698"/>
        <n v="64415"/>
        <n v="15256"/>
        <n v="87096"/>
        <n v="58056"/>
        <n v="20040"/>
        <n v="87165"/>
        <n v="148210"/>
        <n v="87030"/>
        <n v="116792"/>
        <n v="48222"/>
        <n v="68100"/>
        <n v="34872"/>
        <n v="156948"/>
        <n v="69695"/>
        <n v="147890"/>
        <n v="36360"/>
        <n v="94704"/>
        <n v="88520"/>
        <n v="106980"/>
        <n v="53316"/>
        <n v="130527"/>
        <n v="149696"/>
        <n v="10055"/>
        <n v="81408"/>
        <n v="165240"/>
        <n v="71704"/>
        <n v="196890"/>
        <n v="33028"/>
        <n v="117460"/>
        <n v="23848"/>
        <n v="206380"/>
        <n v="17409"/>
        <n v="24934"/>
        <n v="100728"/>
        <n v="34647"/>
        <n v="13053"/>
        <n v="36870"/>
        <n v="25700"/>
        <n v="57215"/>
        <n v="16821"/>
        <n v="113528"/>
        <n v="92805"/>
        <n v="10406"/>
        <n v="40936"/>
        <n v="50552"/>
        <n v="58744"/>
        <n v="48132"/>
        <n v="43668"/>
        <n v="38715"/>
        <n v="169640"/>
        <n v="27036"/>
        <n v="39555"/>
        <n v="26974"/>
        <n v="86496"/>
        <n v="103216"/>
        <n v="57276"/>
        <n v="85584"/>
        <n v="130680"/>
        <n v="51188"/>
        <n v="83360"/>
        <n v="98112"/>
        <n v="19204"/>
        <n v="70368"/>
        <n v="33070"/>
        <n v="41240"/>
        <n v="41064"/>
        <n v="106092"/>
        <n v="138890"/>
        <n v="34632"/>
        <n v="138348"/>
        <n v="23942"/>
        <n v="53680"/>
        <n v="19476"/>
        <n v="26892"/>
        <n v="113008"/>
        <n v="20436"/>
        <n v="28308"/>
        <n v="26994"/>
        <n v="143088"/>
        <n v="23710"/>
        <n v="132804"/>
        <n v="14780"/>
        <n v="28443"/>
        <n v="22192"/>
        <n v="152496"/>
        <n v="30030"/>
        <n v="17240"/>
        <n v="24348"/>
        <n v="14642"/>
        <n v="34476"/>
        <n v="61188"/>
        <n v="12604"/>
        <n v="20568"/>
        <n v="74048"/>
        <n v="59280"/>
        <n v="145240"/>
        <n v="37445"/>
        <n v="118232"/>
        <n v="50440"/>
        <n v="5678"/>
        <n v="80562"/>
        <n v="79168"/>
        <n v="286160"/>
        <n v="132016"/>
        <n v="79158"/>
        <n v="93420"/>
        <n v="49200"/>
        <n v="58044"/>
        <n v="44900"/>
        <n v="31386"/>
        <n v="73704"/>
        <n v="35613"/>
        <n v="88302"/>
        <n v="210015"/>
        <n v="24222"/>
        <n v="243660"/>
        <n v="38832"/>
        <n v="22690"/>
        <n v="231860"/>
        <n v="71250"/>
        <n v="12914"/>
        <n v="61190"/>
        <n v="29816"/>
        <n v="8937"/>
        <n v="63066"/>
        <n v="16062"/>
        <n v="146208"/>
        <n v="109308"/>
        <n v="19684"/>
        <n v="29980"/>
        <n v="49884"/>
        <n v="21192"/>
        <n v="108832"/>
        <n v="21676"/>
        <n v="258480"/>
        <n v="23013"/>
        <n v="117684"/>
        <n v="42308"/>
        <n v="64232"/>
        <n v="69992"/>
        <n v="25600"/>
        <n v="58430"/>
        <n v="38712"/>
        <n v="200420"/>
        <n v="83864"/>
        <n v="27880"/>
        <n v="12107"/>
        <n v="71754"/>
        <n v="143316"/>
        <n v="18904"/>
        <n v="26400"/>
        <n v="45768"/>
        <n v="28312"/>
        <n v="24728"/>
        <n v="105472"/>
        <n v="76329"/>
        <n v="56560"/>
        <n v="17048"/>
        <n v="95664"/>
        <n v="32922"/>
        <n v="51100"/>
        <n v="16912"/>
        <n v="67848"/>
        <n v="47080"/>
        <n v="151224"/>
        <n v="100908"/>
        <n v="27942"/>
        <n v="36795"/>
        <n v="36705"/>
        <n v="108816"/>
        <n v="108392"/>
        <n v="29964"/>
        <n v="40008"/>
        <n v="234064"/>
        <n v="139950"/>
        <n v="34740"/>
        <n v="59622"/>
        <n v="98416"/>
        <n v="125900"/>
        <n v="25685"/>
        <n v="155160"/>
        <n v="14004"/>
        <n v="44934"/>
        <n v="9714"/>
        <n v="236336"/>
        <n v="56166"/>
        <n v="23684"/>
        <n v="17252"/>
        <n v="22347"/>
        <n v="160900"/>
        <n v="78840"/>
        <n v="103280"/>
        <n v="20510"/>
        <n v="33864"/>
        <n v="59752"/>
        <n v="31740"/>
        <n v="112995"/>
        <n v="104784"/>
        <n v="53272"/>
        <n v="23768"/>
        <n v="56110"/>
        <n v="118776"/>
      </sharedItems>
    </cacheField>
    <cacheField name="Customer Type" numFmtId="0">
      <sharedItems count="4">
        <s v="Family"/>
        <s v="Couple"/>
        <s v="Individual"/>
        <s v="Corporate"/>
      </sharedItems>
    </cacheField>
    <cacheField name="Season" numFmtId="0">
      <sharedItems count="3">
        <s v="Off-Peak"/>
        <s v="Peak"/>
        <s v="Shoulder"/>
      </sharedItems>
    </cacheField>
    <cacheField name="Rooms Available" numFmtId="0">
      <sharedItems containsSemiMixedTypes="0" containsString="0" containsNumber="1" containsInteger="1" minValue="50" maxValue="50"/>
    </cacheField>
    <cacheField name="Rooms Booked" numFmtId="0">
      <sharedItems containsSemiMixedTypes="0" containsString="0" containsNumber="1" containsInteger="1" minValue="1" maxValue="5" count="5">
        <n v="4"/>
        <n v="1"/>
        <n v="2"/>
        <n v="5"/>
        <n v="3"/>
      </sharedItems>
    </cacheField>
    <cacheField name="Booking Status" numFmtId="0">
      <sharedItems/>
    </cacheField>
    <cacheField name="Booking Lead Time (Days)" numFmtId="0">
      <sharedItems containsSemiMixedTypes="0" containsString="0" containsNumber="1" containsInteger="1" minValue="1" maxValue="30"/>
    </cacheField>
    <cacheField name="Repeat Guest" numFmtId="0">
      <sharedItems count="2">
        <s v="Yes"/>
        <s v="No"/>
      </sharedItems>
    </cacheField>
    <cacheField name="Payment Mode" numFmtId="0">
      <sharedItems count="5">
        <s v="Net Banking"/>
        <s v="Cash"/>
        <s v="UPI"/>
        <s v="Debit Card"/>
        <s v="Credit Card"/>
      </sharedItems>
    </cacheField>
    <cacheField name="Stay Duration (Nights)" numFmtId="0">
      <sharedItems containsSemiMixedTypes="0" containsString="0" containsNumber="1" containsInteger="1" minValue="1" maxValue="5"/>
    </cacheField>
    <cacheField name="Discount (%)" numFmtId="0">
      <sharedItems containsSemiMixedTypes="0" containsString="0" containsNumber="1" containsInteger="1" minValue="0" maxValue="15"/>
    </cacheField>
    <cacheField name="Net Revenue" numFmtId="0">
      <sharedItems containsSemiMixedTypes="0" containsString="0" containsNumber="1" minValue="0" maxValue="280380"/>
    </cacheField>
    <cacheField name="Occupancy Rate" numFmtId="0">
      <sharedItems containsSemiMixedTypes="0" containsString="0" containsNumber="1" containsInteger="1" minValue="2" maxValue="10"/>
    </cacheField>
    <cacheField name="Average Revenue" numFmtId="0">
      <sharedItems containsSemiMixedTypes="0" containsString="0" containsNumber="1" containsInteger="1" minValue="0" maxValue="59432"/>
    </cacheField>
  </cacheFields>
  <extLst>
    <ext xmlns:x14="http://schemas.microsoft.com/office/spreadsheetml/2009/9/main" uri="{725AE2AE-9491-48be-B2B4-4EB974FC3084}">
      <x14:pivotCacheDefinition pivotCacheId="51326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n v="50"/>
    <x v="0"/>
    <s v="Confirmed"/>
    <n v="15"/>
    <x v="0"/>
    <x v="0"/>
    <n v="2"/>
    <n v="15"/>
    <n v="78914"/>
    <n v="8"/>
    <n v="23210"/>
  </r>
  <r>
    <x v="1"/>
    <x v="1"/>
    <x v="1"/>
    <x v="1"/>
    <x v="1"/>
    <x v="0"/>
    <n v="50"/>
    <x v="1"/>
    <s v="Confirmed"/>
    <n v="6"/>
    <x v="1"/>
    <x v="1"/>
    <n v="5"/>
    <n v="10"/>
    <n v="40138.199999999997"/>
    <n v="2"/>
    <n v="44598"/>
  </r>
  <r>
    <x v="0"/>
    <x v="0"/>
    <x v="2"/>
    <x v="2"/>
    <x v="2"/>
    <x v="1"/>
    <n v="50"/>
    <x v="0"/>
    <s v="Confirmed"/>
    <n v="1"/>
    <x v="0"/>
    <x v="0"/>
    <n v="3"/>
    <n v="0"/>
    <n v="48552"/>
    <n v="8"/>
    <n v="12138"/>
  </r>
  <r>
    <x v="2"/>
    <x v="2"/>
    <x v="3"/>
    <x v="3"/>
    <x v="1"/>
    <x v="0"/>
    <n v="50"/>
    <x v="2"/>
    <s v="Confirmed"/>
    <n v="20"/>
    <x v="0"/>
    <x v="1"/>
    <n v="5"/>
    <n v="5"/>
    <n v="99932.4"/>
    <n v="4"/>
    <n v="52596"/>
  </r>
  <r>
    <x v="3"/>
    <x v="2"/>
    <x v="4"/>
    <x v="4"/>
    <x v="0"/>
    <x v="0"/>
    <n v="50"/>
    <x v="3"/>
    <s v="Confirmed"/>
    <n v="13"/>
    <x v="0"/>
    <x v="2"/>
    <n v="4"/>
    <n v="5"/>
    <n v="189582"/>
    <n v="10"/>
    <n v="39912"/>
  </r>
  <r>
    <x v="1"/>
    <x v="2"/>
    <x v="5"/>
    <x v="5"/>
    <x v="1"/>
    <x v="0"/>
    <n v="50"/>
    <x v="2"/>
    <s v="Confirmed"/>
    <n v="25"/>
    <x v="0"/>
    <x v="3"/>
    <n v="4"/>
    <n v="10"/>
    <n v="24262.2"/>
    <n v="4"/>
    <n v="13479"/>
  </r>
  <r>
    <x v="4"/>
    <x v="0"/>
    <x v="6"/>
    <x v="6"/>
    <x v="0"/>
    <x v="1"/>
    <n v="50"/>
    <x v="0"/>
    <s v="Confirmed"/>
    <n v="15"/>
    <x v="1"/>
    <x v="4"/>
    <n v="4"/>
    <n v="15"/>
    <n v="45719.8"/>
    <n v="8"/>
    <n v="13447"/>
  </r>
  <r>
    <x v="1"/>
    <x v="2"/>
    <x v="7"/>
    <x v="7"/>
    <x v="3"/>
    <x v="2"/>
    <n v="50"/>
    <x v="2"/>
    <s v="Confirmed"/>
    <n v="3"/>
    <x v="1"/>
    <x v="3"/>
    <n v="3"/>
    <n v="10"/>
    <n v="90072"/>
    <n v="4"/>
    <n v="50040"/>
  </r>
  <r>
    <x v="3"/>
    <x v="1"/>
    <x v="8"/>
    <x v="8"/>
    <x v="0"/>
    <x v="2"/>
    <n v="50"/>
    <x v="3"/>
    <s v="Confirmed"/>
    <n v="5"/>
    <x v="0"/>
    <x v="2"/>
    <n v="4"/>
    <n v="10"/>
    <n v="260424"/>
    <n v="10"/>
    <n v="57872"/>
  </r>
  <r>
    <x v="3"/>
    <x v="0"/>
    <x v="9"/>
    <x v="9"/>
    <x v="1"/>
    <x v="1"/>
    <n v="50"/>
    <x v="2"/>
    <s v="Confirmed"/>
    <n v="15"/>
    <x v="1"/>
    <x v="0"/>
    <n v="2"/>
    <n v="10"/>
    <n v="36072"/>
    <n v="4"/>
    <n v="20040"/>
  </r>
  <r>
    <x v="0"/>
    <x v="1"/>
    <x v="10"/>
    <x v="10"/>
    <x v="0"/>
    <x v="1"/>
    <n v="50"/>
    <x v="0"/>
    <s v="Confirmed"/>
    <n v="20"/>
    <x v="0"/>
    <x v="4"/>
    <n v="1"/>
    <n v="10"/>
    <n v="39117.599999999999"/>
    <n v="8"/>
    <n v="10866"/>
  </r>
  <r>
    <x v="5"/>
    <x v="1"/>
    <x v="11"/>
    <x v="11"/>
    <x v="0"/>
    <x v="0"/>
    <n v="50"/>
    <x v="3"/>
    <s v="Confirmed"/>
    <n v="27"/>
    <x v="0"/>
    <x v="2"/>
    <n v="4"/>
    <n v="5"/>
    <n v="232883"/>
    <n v="10"/>
    <n v="49028"/>
  </r>
  <r>
    <x v="2"/>
    <x v="2"/>
    <x v="12"/>
    <x v="12"/>
    <x v="1"/>
    <x v="0"/>
    <n v="50"/>
    <x v="1"/>
    <s v="Confirmed"/>
    <n v="20"/>
    <x v="0"/>
    <x v="3"/>
    <n v="4"/>
    <n v="10"/>
    <n v="50018.400000000001"/>
    <n v="2"/>
    <n v="55576"/>
  </r>
  <r>
    <x v="3"/>
    <x v="0"/>
    <x v="13"/>
    <x v="13"/>
    <x v="1"/>
    <x v="0"/>
    <n v="50"/>
    <x v="3"/>
    <s v="Confirmed"/>
    <n v="20"/>
    <x v="0"/>
    <x v="1"/>
    <n v="2"/>
    <n v="10"/>
    <n v="46435.5"/>
    <n v="10"/>
    <n v="10319"/>
  </r>
  <r>
    <x v="4"/>
    <x v="0"/>
    <x v="14"/>
    <x v="14"/>
    <x v="1"/>
    <x v="1"/>
    <n v="50"/>
    <x v="1"/>
    <s v="Cancelled"/>
    <n v="20"/>
    <x v="1"/>
    <x v="0"/>
    <n v="4"/>
    <n v="0"/>
    <n v="0"/>
    <n v="2"/>
    <n v="0"/>
  </r>
  <r>
    <x v="5"/>
    <x v="2"/>
    <x v="15"/>
    <x v="14"/>
    <x v="3"/>
    <x v="2"/>
    <n v="50"/>
    <x v="2"/>
    <s v="Cancelled"/>
    <n v="26"/>
    <x v="1"/>
    <x v="4"/>
    <n v="2"/>
    <n v="5"/>
    <n v="0"/>
    <n v="4"/>
    <n v="0"/>
  </r>
  <r>
    <x v="2"/>
    <x v="2"/>
    <x v="16"/>
    <x v="15"/>
    <x v="1"/>
    <x v="0"/>
    <n v="50"/>
    <x v="4"/>
    <s v="Confirmed"/>
    <n v="18"/>
    <x v="1"/>
    <x v="2"/>
    <n v="1"/>
    <n v="15"/>
    <n v="14433"/>
    <n v="6"/>
    <n v="5660"/>
  </r>
  <r>
    <x v="4"/>
    <x v="0"/>
    <x v="17"/>
    <x v="16"/>
    <x v="3"/>
    <x v="0"/>
    <n v="50"/>
    <x v="0"/>
    <s v="Confirmed"/>
    <n v="11"/>
    <x v="1"/>
    <x v="1"/>
    <n v="2"/>
    <n v="15"/>
    <n v="120472.2"/>
    <n v="8"/>
    <n v="35433"/>
  </r>
  <r>
    <x v="5"/>
    <x v="0"/>
    <x v="18"/>
    <x v="17"/>
    <x v="2"/>
    <x v="0"/>
    <n v="50"/>
    <x v="1"/>
    <s v="Confirmed"/>
    <n v="21"/>
    <x v="0"/>
    <x v="1"/>
    <n v="3"/>
    <n v="5"/>
    <n v="30774.3"/>
    <n v="2"/>
    <n v="32394"/>
  </r>
  <r>
    <x v="4"/>
    <x v="2"/>
    <x v="19"/>
    <x v="18"/>
    <x v="3"/>
    <x v="0"/>
    <n v="50"/>
    <x v="0"/>
    <s v="Confirmed"/>
    <n v="13"/>
    <x v="0"/>
    <x v="4"/>
    <n v="2"/>
    <n v="10"/>
    <n v="20095.2"/>
    <n v="8"/>
    <n v="5582"/>
  </r>
  <r>
    <x v="4"/>
    <x v="0"/>
    <x v="20"/>
    <x v="19"/>
    <x v="1"/>
    <x v="1"/>
    <n v="50"/>
    <x v="2"/>
    <s v="Confirmed"/>
    <n v="25"/>
    <x v="1"/>
    <x v="0"/>
    <n v="3"/>
    <n v="15"/>
    <n v="8753.2999999999993"/>
    <n v="4"/>
    <n v="5149"/>
  </r>
  <r>
    <x v="3"/>
    <x v="0"/>
    <x v="21"/>
    <x v="20"/>
    <x v="1"/>
    <x v="0"/>
    <n v="50"/>
    <x v="0"/>
    <s v="Confirmed"/>
    <n v="16"/>
    <x v="0"/>
    <x v="2"/>
    <n v="1"/>
    <n v="15"/>
    <n v="169211.2"/>
    <n v="8"/>
    <n v="49768"/>
  </r>
  <r>
    <x v="5"/>
    <x v="2"/>
    <x v="22"/>
    <x v="21"/>
    <x v="3"/>
    <x v="1"/>
    <n v="50"/>
    <x v="2"/>
    <s v="Confirmed"/>
    <n v="23"/>
    <x v="0"/>
    <x v="1"/>
    <n v="5"/>
    <n v="10"/>
    <n v="7434"/>
    <n v="4"/>
    <n v="4130"/>
  </r>
  <r>
    <x v="0"/>
    <x v="1"/>
    <x v="23"/>
    <x v="22"/>
    <x v="2"/>
    <x v="0"/>
    <n v="50"/>
    <x v="2"/>
    <s v="Confirmed"/>
    <n v="14"/>
    <x v="1"/>
    <x v="3"/>
    <n v="4"/>
    <n v="15"/>
    <n v="22679.7"/>
    <n v="4"/>
    <n v="13341"/>
  </r>
  <r>
    <x v="2"/>
    <x v="0"/>
    <x v="24"/>
    <x v="23"/>
    <x v="1"/>
    <x v="0"/>
    <n v="50"/>
    <x v="3"/>
    <s v="Confirmed"/>
    <n v="5"/>
    <x v="1"/>
    <x v="2"/>
    <n v="5"/>
    <n v="10"/>
    <n v="143226"/>
    <n v="10"/>
    <n v="31828"/>
  </r>
  <r>
    <x v="4"/>
    <x v="0"/>
    <x v="25"/>
    <x v="24"/>
    <x v="3"/>
    <x v="2"/>
    <n v="50"/>
    <x v="0"/>
    <s v="Confirmed"/>
    <n v="5"/>
    <x v="0"/>
    <x v="0"/>
    <n v="2"/>
    <n v="5"/>
    <n v="19106.400000000001"/>
    <n v="8"/>
    <n v="5028"/>
  </r>
  <r>
    <x v="2"/>
    <x v="0"/>
    <x v="26"/>
    <x v="25"/>
    <x v="2"/>
    <x v="1"/>
    <n v="50"/>
    <x v="3"/>
    <s v="Confirmed"/>
    <n v="19"/>
    <x v="0"/>
    <x v="2"/>
    <n v="1"/>
    <n v="0"/>
    <n v="211840"/>
    <n v="10"/>
    <n v="42368"/>
  </r>
  <r>
    <x v="5"/>
    <x v="0"/>
    <x v="27"/>
    <x v="26"/>
    <x v="1"/>
    <x v="1"/>
    <n v="50"/>
    <x v="4"/>
    <s v="Confirmed"/>
    <n v="7"/>
    <x v="1"/>
    <x v="3"/>
    <n v="5"/>
    <n v="15"/>
    <n v="105975.45"/>
    <n v="6"/>
    <n v="41559"/>
  </r>
  <r>
    <x v="0"/>
    <x v="1"/>
    <x v="28"/>
    <x v="14"/>
    <x v="1"/>
    <x v="1"/>
    <n v="50"/>
    <x v="4"/>
    <s v="Cancelled"/>
    <n v="29"/>
    <x v="1"/>
    <x v="1"/>
    <n v="3"/>
    <n v="0"/>
    <n v="0"/>
    <n v="6"/>
    <n v="0"/>
  </r>
  <r>
    <x v="5"/>
    <x v="0"/>
    <x v="29"/>
    <x v="14"/>
    <x v="3"/>
    <x v="2"/>
    <n v="50"/>
    <x v="4"/>
    <s v="Cancelled"/>
    <n v="2"/>
    <x v="1"/>
    <x v="1"/>
    <n v="1"/>
    <n v="0"/>
    <n v="0"/>
    <n v="6"/>
    <n v="0"/>
  </r>
  <r>
    <x v="4"/>
    <x v="2"/>
    <x v="30"/>
    <x v="27"/>
    <x v="2"/>
    <x v="2"/>
    <n v="50"/>
    <x v="4"/>
    <s v="Confirmed"/>
    <n v="29"/>
    <x v="0"/>
    <x v="1"/>
    <n v="3"/>
    <n v="5"/>
    <n v="110269.35"/>
    <n v="6"/>
    <n v="38691"/>
  </r>
  <r>
    <x v="1"/>
    <x v="1"/>
    <x v="31"/>
    <x v="28"/>
    <x v="1"/>
    <x v="1"/>
    <n v="50"/>
    <x v="1"/>
    <s v="Confirmed"/>
    <n v="19"/>
    <x v="1"/>
    <x v="3"/>
    <n v="1"/>
    <n v="15"/>
    <n v="30148.65"/>
    <n v="2"/>
    <n v="35469"/>
  </r>
  <r>
    <x v="0"/>
    <x v="1"/>
    <x v="32"/>
    <x v="29"/>
    <x v="2"/>
    <x v="1"/>
    <n v="50"/>
    <x v="3"/>
    <s v="Confirmed"/>
    <n v="9"/>
    <x v="1"/>
    <x v="4"/>
    <n v="3"/>
    <n v="15"/>
    <n v="78387"/>
    <n v="10"/>
    <n v="18444"/>
  </r>
  <r>
    <x v="1"/>
    <x v="0"/>
    <x v="33"/>
    <x v="14"/>
    <x v="1"/>
    <x v="0"/>
    <n v="50"/>
    <x v="0"/>
    <s v="Cancelled"/>
    <n v="6"/>
    <x v="1"/>
    <x v="3"/>
    <n v="3"/>
    <n v="10"/>
    <n v="0"/>
    <n v="8"/>
    <n v="0"/>
  </r>
  <r>
    <x v="0"/>
    <x v="2"/>
    <x v="34"/>
    <x v="30"/>
    <x v="2"/>
    <x v="0"/>
    <n v="50"/>
    <x v="1"/>
    <s v="Confirmed"/>
    <n v="25"/>
    <x v="0"/>
    <x v="4"/>
    <n v="5"/>
    <n v="15"/>
    <n v="7739.25"/>
    <n v="2"/>
    <n v="9105"/>
  </r>
  <r>
    <x v="5"/>
    <x v="0"/>
    <x v="35"/>
    <x v="31"/>
    <x v="1"/>
    <x v="1"/>
    <n v="50"/>
    <x v="2"/>
    <s v="Confirmed"/>
    <n v="16"/>
    <x v="0"/>
    <x v="2"/>
    <n v="4"/>
    <n v="0"/>
    <n v="29932"/>
    <n v="4"/>
    <n v="14966"/>
  </r>
  <r>
    <x v="0"/>
    <x v="2"/>
    <x v="36"/>
    <x v="32"/>
    <x v="2"/>
    <x v="1"/>
    <n v="50"/>
    <x v="0"/>
    <s v="Confirmed"/>
    <n v="11"/>
    <x v="0"/>
    <x v="0"/>
    <n v="1"/>
    <n v="15"/>
    <n v="38692"/>
    <n v="8"/>
    <n v="11380"/>
  </r>
  <r>
    <x v="4"/>
    <x v="2"/>
    <x v="37"/>
    <x v="33"/>
    <x v="3"/>
    <x v="2"/>
    <n v="50"/>
    <x v="3"/>
    <s v="Confirmed"/>
    <n v="8"/>
    <x v="1"/>
    <x v="3"/>
    <n v="5"/>
    <n v="0"/>
    <n v="20285"/>
    <n v="10"/>
    <n v="4057"/>
  </r>
  <r>
    <x v="0"/>
    <x v="1"/>
    <x v="38"/>
    <x v="34"/>
    <x v="2"/>
    <x v="2"/>
    <n v="50"/>
    <x v="0"/>
    <s v="Confirmed"/>
    <n v="22"/>
    <x v="0"/>
    <x v="1"/>
    <n v="2"/>
    <n v="5"/>
    <n v="47329"/>
    <n v="8"/>
    <n v="12455"/>
  </r>
  <r>
    <x v="4"/>
    <x v="0"/>
    <x v="39"/>
    <x v="35"/>
    <x v="0"/>
    <x v="1"/>
    <n v="50"/>
    <x v="3"/>
    <s v="Confirmed"/>
    <n v="7"/>
    <x v="0"/>
    <x v="1"/>
    <n v="5"/>
    <n v="15"/>
    <n v="180489"/>
    <n v="10"/>
    <n v="42468"/>
  </r>
  <r>
    <x v="0"/>
    <x v="1"/>
    <x v="40"/>
    <x v="36"/>
    <x v="2"/>
    <x v="0"/>
    <n v="50"/>
    <x v="4"/>
    <s v="Confirmed"/>
    <n v="21"/>
    <x v="1"/>
    <x v="4"/>
    <n v="5"/>
    <n v="0"/>
    <n v="73284"/>
    <n v="6"/>
    <n v="24428"/>
  </r>
  <r>
    <x v="4"/>
    <x v="1"/>
    <x v="41"/>
    <x v="37"/>
    <x v="0"/>
    <x v="0"/>
    <n v="50"/>
    <x v="1"/>
    <s v="Confirmed"/>
    <n v="2"/>
    <x v="1"/>
    <x v="4"/>
    <n v="4"/>
    <n v="0"/>
    <n v="56132"/>
    <n v="2"/>
    <n v="56132"/>
  </r>
  <r>
    <x v="1"/>
    <x v="1"/>
    <x v="42"/>
    <x v="38"/>
    <x v="2"/>
    <x v="0"/>
    <n v="50"/>
    <x v="1"/>
    <s v="Confirmed"/>
    <n v="6"/>
    <x v="0"/>
    <x v="0"/>
    <n v="3"/>
    <n v="0"/>
    <n v="13122"/>
    <n v="2"/>
    <n v="13122"/>
  </r>
  <r>
    <x v="2"/>
    <x v="1"/>
    <x v="43"/>
    <x v="39"/>
    <x v="3"/>
    <x v="1"/>
    <n v="50"/>
    <x v="1"/>
    <s v="Confirmed"/>
    <n v="21"/>
    <x v="1"/>
    <x v="0"/>
    <n v="1"/>
    <n v="5"/>
    <n v="40498.5"/>
    <n v="2"/>
    <n v="42630"/>
  </r>
  <r>
    <x v="5"/>
    <x v="1"/>
    <x v="44"/>
    <x v="40"/>
    <x v="0"/>
    <x v="1"/>
    <n v="50"/>
    <x v="4"/>
    <s v="Confirmed"/>
    <n v="29"/>
    <x v="0"/>
    <x v="3"/>
    <n v="1"/>
    <n v="15"/>
    <n v="10929.3"/>
    <n v="6"/>
    <n v="4286"/>
  </r>
  <r>
    <x v="0"/>
    <x v="2"/>
    <x v="45"/>
    <x v="41"/>
    <x v="3"/>
    <x v="2"/>
    <n v="50"/>
    <x v="0"/>
    <s v="Confirmed"/>
    <n v="30"/>
    <x v="1"/>
    <x v="4"/>
    <n v="1"/>
    <n v="5"/>
    <n v="19083.599999999999"/>
    <n v="8"/>
    <n v="5022"/>
  </r>
  <r>
    <x v="3"/>
    <x v="0"/>
    <x v="28"/>
    <x v="42"/>
    <x v="2"/>
    <x v="1"/>
    <n v="50"/>
    <x v="0"/>
    <s v="Confirmed"/>
    <n v="16"/>
    <x v="0"/>
    <x v="0"/>
    <n v="4"/>
    <n v="10"/>
    <n v="108014.39999999999"/>
    <n v="8"/>
    <n v="30004"/>
  </r>
  <r>
    <x v="0"/>
    <x v="1"/>
    <x v="46"/>
    <x v="43"/>
    <x v="0"/>
    <x v="0"/>
    <n v="50"/>
    <x v="0"/>
    <s v="Confirmed"/>
    <n v="12"/>
    <x v="1"/>
    <x v="2"/>
    <n v="5"/>
    <n v="5"/>
    <n v="69236"/>
    <n v="8"/>
    <n v="18220"/>
  </r>
  <r>
    <x v="1"/>
    <x v="1"/>
    <x v="47"/>
    <x v="44"/>
    <x v="2"/>
    <x v="2"/>
    <n v="50"/>
    <x v="2"/>
    <s v="Confirmed"/>
    <n v="11"/>
    <x v="1"/>
    <x v="3"/>
    <n v="2"/>
    <n v="5"/>
    <n v="23594.2"/>
    <n v="4"/>
    <n v="12418"/>
  </r>
  <r>
    <x v="5"/>
    <x v="1"/>
    <x v="48"/>
    <x v="45"/>
    <x v="2"/>
    <x v="0"/>
    <n v="50"/>
    <x v="4"/>
    <s v="Confirmed"/>
    <n v="15"/>
    <x v="0"/>
    <x v="2"/>
    <n v="5"/>
    <n v="0"/>
    <n v="39204"/>
    <n v="6"/>
    <n v="13068"/>
  </r>
  <r>
    <x v="3"/>
    <x v="2"/>
    <x v="4"/>
    <x v="46"/>
    <x v="0"/>
    <x v="0"/>
    <n v="50"/>
    <x v="1"/>
    <s v="Confirmed"/>
    <n v="25"/>
    <x v="0"/>
    <x v="2"/>
    <n v="5"/>
    <n v="15"/>
    <n v="31195"/>
    <n v="2"/>
    <n v="36700"/>
  </r>
  <r>
    <x v="0"/>
    <x v="1"/>
    <x v="49"/>
    <x v="47"/>
    <x v="1"/>
    <x v="1"/>
    <n v="50"/>
    <x v="1"/>
    <s v="Confirmed"/>
    <n v="4"/>
    <x v="0"/>
    <x v="3"/>
    <n v="2"/>
    <n v="0"/>
    <n v="4139"/>
    <n v="2"/>
    <n v="4139"/>
  </r>
  <r>
    <x v="3"/>
    <x v="0"/>
    <x v="50"/>
    <x v="14"/>
    <x v="3"/>
    <x v="0"/>
    <n v="50"/>
    <x v="4"/>
    <s v="Cancelled"/>
    <n v="23"/>
    <x v="0"/>
    <x v="3"/>
    <n v="4"/>
    <n v="15"/>
    <n v="0"/>
    <n v="6"/>
    <n v="0"/>
  </r>
  <r>
    <x v="5"/>
    <x v="2"/>
    <x v="51"/>
    <x v="48"/>
    <x v="2"/>
    <x v="0"/>
    <n v="50"/>
    <x v="4"/>
    <s v="Confirmed"/>
    <n v="15"/>
    <x v="1"/>
    <x v="1"/>
    <n v="3"/>
    <n v="5"/>
    <n v="54982.2"/>
    <n v="6"/>
    <n v="19292"/>
  </r>
  <r>
    <x v="1"/>
    <x v="2"/>
    <x v="52"/>
    <x v="49"/>
    <x v="2"/>
    <x v="0"/>
    <n v="50"/>
    <x v="2"/>
    <s v="Confirmed"/>
    <n v="29"/>
    <x v="1"/>
    <x v="2"/>
    <n v="5"/>
    <n v="0"/>
    <n v="81144"/>
    <n v="4"/>
    <n v="40572"/>
  </r>
  <r>
    <x v="0"/>
    <x v="2"/>
    <x v="53"/>
    <x v="14"/>
    <x v="0"/>
    <x v="0"/>
    <n v="50"/>
    <x v="4"/>
    <s v="Cancelled"/>
    <n v="20"/>
    <x v="1"/>
    <x v="1"/>
    <n v="1"/>
    <n v="10"/>
    <n v="0"/>
    <n v="6"/>
    <n v="0"/>
  </r>
  <r>
    <x v="0"/>
    <x v="1"/>
    <x v="49"/>
    <x v="50"/>
    <x v="2"/>
    <x v="1"/>
    <n v="50"/>
    <x v="3"/>
    <s v="Confirmed"/>
    <n v="30"/>
    <x v="0"/>
    <x v="1"/>
    <n v="3"/>
    <n v="5"/>
    <n v="54097.75"/>
    <n v="10"/>
    <n v="11389"/>
  </r>
  <r>
    <x v="1"/>
    <x v="2"/>
    <x v="54"/>
    <x v="51"/>
    <x v="3"/>
    <x v="1"/>
    <n v="50"/>
    <x v="2"/>
    <s v="Confirmed"/>
    <n v="9"/>
    <x v="1"/>
    <x v="1"/>
    <n v="1"/>
    <n v="0"/>
    <n v="27306"/>
    <n v="4"/>
    <n v="13653"/>
  </r>
  <r>
    <x v="1"/>
    <x v="0"/>
    <x v="55"/>
    <x v="52"/>
    <x v="2"/>
    <x v="0"/>
    <n v="50"/>
    <x v="2"/>
    <s v="Confirmed"/>
    <n v="1"/>
    <x v="0"/>
    <x v="3"/>
    <n v="4"/>
    <n v="5"/>
    <n v="25860.9"/>
    <n v="4"/>
    <n v="13611"/>
  </r>
  <r>
    <x v="3"/>
    <x v="2"/>
    <x v="50"/>
    <x v="53"/>
    <x v="2"/>
    <x v="0"/>
    <n v="50"/>
    <x v="1"/>
    <s v="Confirmed"/>
    <n v="22"/>
    <x v="0"/>
    <x v="0"/>
    <n v="5"/>
    <n v="10"/>
    <n v="19614.599999999999"/>
    <n v="2"/>
    <n v="21794"/>
  </r>
  <r>
    <x v="1"/>
    <x v="2"/>
    <x v="56"/>
    <x v="54"/>
    <x v="1"/>
    <x v="2"/>
    <n v="50"/>
    <x v="0"/>
    <s v="Confirmed"/>
    <n v="4"/>
    <x v="1"/>
    <x v="0"/>
    <n v="4"/>
    <n v="10"/>
    <n v="31536"/>
    <n v="8"/>
    <n v="8760"/>
  </r>
  <r>
    <x v="5"/>
    <x v="1"/>
    <x v="57"/>
    <x v="55"/>
    <x v="0"/>
    <x v="0"/>
    <n v="50"/>
    <x v="2"/>
    <s v="Confirmed"/>
    <n v="30"/>
    <x v="1"/>
    <x v="1"/>
    <n v="5"/>
    <n v="15"/>
    <n v="23769.4"/>
    <n v="4"/>
    <n v="13982"/>
  </r>
  <r>
    <x v="3"/>
    <x v="2"/>
    <x v="4"/>
    <x v="56"/>
    <x v="2"/>
    <x v="0"/>
    <n v="50"/>
    <x v="0"/>
    <s v="Confirmed"/>
    <n v="13"/>
    <x v="0"/>
    <x v="4"/>
    <n v="4"/>
    <n v="5"/>
    <n v="95543.4"/>
    <n v="8"/>
    <n v="25143"/>
  </r>
  <r>
    <x v="0"/>
    <x v="0"/>
    <x v="58"/>
    <x v="14"/>
    <x v="3"/>
    <x v="0"/>
    <n v="50"/>
    <x v="3"/>
    <s v="Cancelled"/>
    <n v="30"/>
    <x v="0"/>
    <x v="3"/>
    <n v="1"/>
    <n v="15"/>
    <n v="0"/>
    <n v="10"/>
    <n v="0"/>
  </r>
  <r>
    <x v="3"/>
    <x v="1"/>
    <x v="59"/>
    <x v="57"/>
    <x v="0"/>
    <x v="2"/>
    <n v="50"/>
    <x v="1"/>
    <s v="Confirmed"/>
    <n v="10"/>
    <x v="1"/>
    <x v="4"/>
    <n v="4"/>
    <n v="15"/>
    <n v="11840.5"/>
    <n v="2"/>
    <n v="13930"/>
  </r>
  <r>
    <x v="5"/>
    <x v="1"/>
    <x v="60"/>
    <x v="58"/>
    <x v="1"/>
    <x v="1"/>
    <n v="50"/>
    <x v="0"/>
    <s v="Confirmed"/>
    <n v="17"/>
    <x v="1"/>
    <x v="4"/>
    <n v="2"/>
    <n v="5"/>
    <n v="107692"/>
    <n v="8"/>
    <n v="28340"/>
  </r>
  <r>
    <x v="1"/>
    <x v="2"/>
    <x v="61"/>
    <x v="59"/>
    <x v="1"/>
    <x v="0"/>
    <n v="50"/>
    <x v="2"/>
    <s v="Confirmed"/>
    <n v="11"/>
    <x v="1"/>
    <x v="3"/>
    <n v="1"/>
    <n v="10"/>
    <n v="13147.2"/>
    <n v="4"/>
    <n v="7304"/>
  </r>
  <r>
    <x v="5"/>
    <x v="0"/>
    <x v="62"/>
    <x v="60"/>
    <x v="2"/>
    <x v="0"/>
    <n v="50"/>
    <x v="1"/>
    <s v="Confirmed"/>
    <n v="9"/>
    <x v="0"/>
    <x v="0"/>
    <n v="1"/>
    <n v="15"/>
    <n v="14307.2"/>
    <n v="2"/>
    <n v="16832"/>
  </r>
  <r>
    <x v="1"/>
    <x v="0"/>
    <x v="63"/>
    <x v="14"/>
    <x v="1"/>
    <x v="1"/>
    <n v="50"/>
    <x v="1"/>
    <s v="Cancelled"/>
    <n v="25"/>
    <x v="1"/>
    <x v="1"/>
    <n v="5"/>
    <n v="10"/>
    <n v="0"/>
    <n v="2"/>
    <n v="0"/>
  </r>
  <r>
    <x v="3"/>
    <x v="0"/>
    <x v="64"/>
    <x v="61"/>
    <x v="1"/>
    <x v="0"/>
    <n v="50"/>
    <x v="1"/>
    <s v="Confirmed"/>
    <n v="30"/>
    <x v="0"/>
    <x v="3"/>
    <n v="3"/>
    <n v="10"/>
    <n v="32086.799999999999"/>
    <n v="2"/>
    <n v="35652"/>
  </r>
  <r>
    <x v="2"/>
    <x v="1"/>
    <x v="65"/>
    <x v="62"/>
    <x v="2"/>
    <x v="0"/>
    <n v="50"/>
    <x v="3"/>
    <s v="Confirmed"/>
    <n v="20"/>
    <x v="1"/>
    <x v="4"/>
    <n v="2"/>
    <n v="0"/>
    <n v="132800"/>
    <n v="10"/>
    <n v="26560"/>
  </r>
  <r>
    <x v="4"/>
    <x v="2"/>
    <x v="66"/>
    <x v="14"/>
    <x v="1"/>
    <x v="1"/>
    <n v="50"/>
    <x v="2"/>
    <s v="Cancelled"/>
    <n v="1"/>
    <x v="1"/>
    <x v="4"/>
    <n v="1"/>
    <n v="15"/>
    <n v="0"/>
    <n v="4"/>
    <n v="0"/>
  </r>
  <r>
    <x v="2"/>
    <x v="0"/>
    <x v="67"/>
    <x v="63"/>
    <x v="0"/>
    <x v="0"/>
    <n v="50"/>
    <x v="1"/>
    <s v="Confirmed"/>
    <n v="7"/>
    <x v="1"/>
    <x v="3"/>
    <n v="5"/>
    <n v="0"/>
    <n v="10499"/>
    <n v="2"/>
    <n v="10499"/>
  </r>
  <r>
    <x v="4"/>
    <x v="2"/>
    <x v="68"/>
    <x v="64"/>
    <x v="0"/>
    <x v="0"/>
    <n v="50"/>
    <x v="4"/>
    <s v="Confirmed"/>
    <n v="12"/>
    <x v="1"/>
    <x v="0"/>
    <n v="2"/>
    <n v="15"/>
    <n v="18224.849999999999"/>
    <n v="6"/>
    <n v="7147"/>
  </r>
  <r>
    <x v="5"/>
    <x v="0"/>
    <x v="69"/>
    <x v="65"/>
    <x v="3"/>
    <x v="0"/>
    <n v="50"/>
    <x v="3"/>
    <s v="Confirmed"/>
    <n v="22"/>
    <x v="0"/>
    <x v="0"/>
    <n v="5"/>
    <n v="15"/>
    <n v="252586"/>
    <n v="10"/>
    <n v="59432"/>
  </r>
  <r>
    <x v="3"/>
    <x v="0"/>
    <x v="70"/>
    <x v="66"/>
    <x v="2"/>
    <x v="0"/>
    <n v="50"/>
    <x v="4"/>
    <s v="Confirmed"/>
    <n v="19"/>
    <x v="1"/>
    <x v="2"/>
    <n v="2"/>
    <n v="15"/>
    <n v="47628.9"/>
    <n v="6"/>
    <n v="18678"/>
  </r>
  <r>
    <x v="4"/>
    <x v="0"/>
    <x v="71"/>
    <x v="67"/>
    <x v="3"/>
    <x v="0"/>
    <n v="50"/>
    <x v="4"/>
    <s v="Confirmed"/>
    <n v="2"/>
    <x v="0"/>
    <x v="0"/>
    <n v="1"/>
    <n v="15"/>
    <n v="62829.45"/>
    <n v="6"/>
    <n v="24639"/>
  </r>
  <r>
    <x v="0"/>
    <x v="2"/>
    <x v="72"/>
    <x v="14"/>
    <x v="2"/>
    <x v="0"/>
    <n v="50"/>
    <x v="0"/>
    <s v="Cancelled"/>
    <n v="30"/>
    <x v="1"/>
    <x v="1"/>
    <n v="5"/>
    <n v="5"/>
    <n v="0"/>
    <n v="8"/>
    <n v="0"/>
  </r>
  <r>
    <x v="2"/>
    <x v="1"/>
    <x v="18"/>
    <x v="68"/>
    <x v="3"/>
    <x v="0"/>
    <n v="50"/>
    <x v="1"/>
    <s v="Confirmed"/>
    <n v="28"/>
    <x v="1"/>
    <x v="1"/>
    <n v="1"/>
    <n v="5"/>
    <n v="7714"/>
    <n v="2"/>
    <n v="8120"/>
  </r>
  <r>
    <x v="3"/>
    <x v="1"/>
    <x v="19"/>
    <x v="14"/>
    <x v="2"/>
    <x v="0"/>
    <n v="50"/>
    <x v="4"/>
    <s v="Cancelled"/>
    <n v="20"/>
    <x v="1"/>
    <x v="0"/>
    <n v="2"/>
    <n v="5"/>
    <n v="0"/>
    <n v="6"/>
    <n v="0"/>
  </r>
  <r>
    <x v="1"/>
    <x v="1"/>
    <x v="73"/>
    <x v="69"/>
    <x v="2"/>
    <x v="1"/>
    <n v="50"/>
    <x v="4"/>
    <s v="Confirmed"/>
    <n v="18"/>
    <x v="0"/>
    <x v="3"/>
    <n v="4"/>
    <n v="0"/>
    <n v="16443"/>
    <n v="6"/>
    <n v="5481"/>
  </r>
  <r>
    <x v="3"/>
    <x v="2"/>
    <x v="74"/>
    <x v="70"/>
    <x v="1"/>
    <x v="0"/>
    <n v="50"/>
    <x v="4"/>
    <s v="Confirmed"/>
    <n v="23"/>
    <x v="0"/>
    <x v="4"/>
    <n v="1"/>
    <n v="10"/>
    <n v="53173.8"/>
    <n v="6"/>
    <n v="19694"/>
  </r>
  <r>
    <x v="0"/>
    <x v="1"/>
    <x v="75"/>
    <x v="71"/>
    <x v="3"/>
    <x v="1"/>
    <n v="50"/>
    <x v="2"/>
    <s v="Confirmed"/>
    <n v="4"/>
    <x v="0"/>
    <x v="3"/>
    <n v="1"/>
    <n v="10"/>
    <n v="18828"/>
    <n v="4"/>
    <n v="10460"/>
  </r>
  <r>
    <x v="3"/>
    <x v="1"/>
    <x v="59"/>
    <x v="72"/>
    <x v="1"/>
    <x v="2"/>
    <n v="50"/>
    <x v="0"/>
    <s v="Confirmed"/>
    <n v="7"/>
    <x v="0"/>
    <x v="4"/>
    <n v="2"/>
    <n v="15"/>
    <n v="33612.400000000001"/>
    <n v="8"/>
    <n v="9886"/>
  </r>
  <r>
    <x v="5"/>
    <x v="1"/>
    <x v="76"/>
    <x v="73"/>
    <x v="2"/>
    <x v="1"/>
    <n v="50"/>
    <x v="1"/>
    <s v="Confirmed"/>
    <n v="10"/>
    <x v="0"/>
    <x v="1"/>
    <n v="2"/>
    <n v="0"/>
    <n v="27088"/>
    <n v="2"/>
    <n v="27088"/>
  </r>
  <r>
    <x v="0"/>
    <x v="1"/>
    <x v="77"/>
    <x v="74"/>
    <x v="3"/>
    <x v="0"/>
    <n v="50"/>
    <x v="3"/>
    <s v="Confirmed"/>
    <n v="29"/>
    <x v="1"/>
    <x v="0"/>
    <n v="1"/>
    <n v="15"/>
    <n v="152286"/>
    <n v="10"/>
    <n v="35832"/>
  </r>
  <r>
    <x v="3"/>
    <x v="0"/>
    <x v="78"/>
    <x v="75"/>
    <x v="0"/>
    <x v="0"/>
    <n v="50"/>
    <x v="3"/>
    <s v="Confirmed"/>
    <n v="12"/>
    <x v="0"/>
    <x v="4"/>
    <n v="3"/>
    <n v="5"/>
    <n v="127613.5"/>
    <n v="10"/>
    <n v="26866"/>
  </r>
  <r>
    <x v="3"/>
    <x v="1"/>
    <x v="79"/>
    <x v="76"/>
    <x v="3"/>
    <x v="0"/>
    <n v="50"/>
    <x v="4"/>
    <s v="Confirmed"/>
    <n v="1"/>
    <x v="1"/>
    <x v="1"/>
    <n v="2"/>
    <n v="5"/>
    <n v="114444.6"/>
    <n v="6"/>
    <n v="40156"/>
  </r>
  <r>
    <x v="0"/>
    <x v="1"/>
    <x v="6"/>
    <x v="77"/>
    <x v="3"/>
    <x v="1"/>
    <n v="50"/>
    <x v="3"/>
    <s v="Confirmed"/>
    <n v="30"/>
    <x v="1"/>
    <x v="4"/>
    <n v="4"/>
    <n v="5"/>
    <n v="71748.75"/>
    <n v="10"/>
    <n v="15105"/>
  </r>
  <r>
    <x v="5"/>
    <x v="2"/>
    <x v="80"/>
    <x v="78"/>
    <x v="3"/>
    <x v="1"/>
    <n v="50"/>
    <x v="2"/>
    <s v="Confirmed"/>
    <n v="14"/>
    <x v="1"/>
    <x v="2"/>
    <n v="2"/>
    <n v="15"/>
    <n v="32915.4"/>
    <n v="4"/>
    <n v="19362"/>
  </r>
  <r>
    <x v="0"/>
    <x v="0"/>
    <x v="81"/>
    <x v="79"/>
    <x v="0"/>
    <x v="1"/>
    <n v="50"/>
    <x v="3"/>
    <s v="Confirmed"/>
    <n v="1"/>
    <x v="1"/>
    <x v="1"/>
    <n v="3"/>
    <n v="15"/>
    <n v="116730.5"/>
    <n v="10"/>
    <n v="27466"/>
  </r>
  <r>
    <x v="1"/>
    <x v="2"/>
    <x v="76"/>
    <x v="80"/>
    <x v="3"/>
    <x v="1"/>
    <n v="50"/>
    <x v="2"/>
    <s v="Confirmed"/>
    <n v="24"/>
    <x v="0"/>
    <x v="1"/>
    <n v="3"/>
    <n v="5"/>
    <n v="61269.3"/>
    <n v="4"/>
    <n v="32247"/>
  </r>
  <r>
    <x v="3"/>
    <x v="0"/>
    <x v="82"/>
    <x v="32"/>
    <x v="2"/>
    <x v="1"/>
    <n v="50"/>
    <x v="0"/>
    <s v="Confirmed"/>
    <n v="30"/>
    <x v="1"/>
    <x v="0"/>
    <n v="3"/>
    <n v="10"/>
    <n v="40968"/>
    <n v="8"/>
    <n v="11380"/>
  </r>
  <r>
    <x v="2"/>
    <x v="0"/>
    <x v="83"/>
    <x v="81"/>
    <x v="2"/>
    <x v="1"/>
    <n v="50"/>
    <x v="1"/>
    <s v="Confirmed"/>
    <n v="26"/>
    <x v="0"/>
    <x v="3"/>
    <n v="1"/>
    <n v="5"/>
    <n v="39124.800000000003"/>
    <n v="2"/>
    <n v="41184"/>
  </r>
  <r>
    <x v="0"/>
    <x v="1"/>
    <x v="84"/>
    <x v="82"/>
    <x v="1"/>
    <x v="0"/>
    <n v="50"/>
    <x v="0"/>
    <s v="Confirmed"/>
    <n v="9"/>
    <x v="0"/>
    <x v="2"/>
    <n v="5"/>
    <n v="10"/>
    <n v="26722.799999999999"/>
    <n v="8"/>
    <n v="7423"/>
  </r>
  <r>
    <x v="0"/>
    <x v="2"/>
    <x v="6"/>
    <x v="83"/>
    <x v="3"/>
    <x v="1"/>
    <n v="50"/>
    <x v="0"/>
    <s v="Confirmed"/>
    <n v="19"/>
    <x v="1"/>
    <x v="4"/>
    <n v="3"/>
    <n v="15"/>
    <n v="19342.599999999999"/>
    <n v="8"/>
    <n v="5689"/>
  </r>
  <r>
    <x v="0"/>
    <x v="2"/>
    <x v="85"/>
    <x v="84"/>
    <x v="2"/>
    <x v="1"/>
    <n v="50"/>
    <x v="0"/>
    <s v="Confirmed"/>
    <n v="3"/>
    <x v="0"/>
    <x v="2"/>
    <n v="3"/>
    <n v="5"/>
    <n v="71956.800000000003"/>
    <n v="8"/>
    <n v="18936"/>
  </r>
  <r>
    <x v="4"/>
    <x v="1"/>
    <x v="85"/>
    <x v="85"/>
    <x v="2"/>
    <x v="1"/>
    <n v="50"/>
    <x v="0"/>
    <s v="Confirmed"/>
    <n v="23"/>
    <x v="1"/>
    <x v="0"/>
    <n v="5"/>
    <n v="10"/>
    <n v="149112"/>
    <n v="8"/>
    <n v="41420"/>
  </r>
  <r>
    <x v="1"/>
    <x v="2"/>
    <x v="86"/>
    <x v="86"/>
    <x v="0"/>
    <x v="2"/>
    <n v="50"/>
    <x v="3"/>
    <s v="Confirmed"/>
    <n v="3"/>
    <x v="1"/>
    <x v="1"/>
    <n v="4"/>
    <n v="10"/>
    <n v="152091"/>
    <n v="10"/>
    <n v="33798"/>
  </r>
  <r>
    <x v="2"/>
    <x v="1"/>
    <x v="87"/>
    <x v="87"/>
    <x v="3"/>
    <x v="2"/>
    <n v="50"/>
    <x v="0"/>
    <s v="Confirmed"/>
    <n v="25"/>
    <x v="0"/>
    <x v="1"/>
    <n v="1"/>
    <n v="5"/>
    <n v="91990.399999999994"/>
    <n v="8"/>
    <n v="24208"/>
  </r>
  <r>
    <x v="4"/>
    <x v="1"/>
    <x v="88"/>
    <x v="88"/>
    <x v="2"/>
    <x v="0"/>
    <n v="50"/>
    <x v="3"/>
    <s v="Confirmed"/>
    <n v="6"/>
    <x v="1"/>
    <x v="3"/>
    <n v="2"/>
    <n v="5"/>
    <n v="189154.5"/>
    <n v="10"/>
    <n v="39822"/>
  </r>
  <r>
    <x v="1"/>
    <x v="1"/>
    <x v="78"/>
    <x v="89"/>
    <x v="1"/>
    <x v="0"/>
    <n v="50"/>
    <x v="1"/>
    <s v="Confirmed"/>
    <n v="20"/>
    <x v="1"/>
    <x v="3"/>
    <n v="5"/>
    <n v="5"/>
    <n v="19543.400000000001"/>
    <n v="2"/>
    <n v="20572"/>
  </r>
  <r>
    <x v="5"/>
    <x v="2"/>
    <x v="89"/>
    <x v="90"/>
    <x v="2"/>
    <x v="1"/>
    <n v="50"/>
    <x v="2"/>
    <s v="Confirmed"/>
    <n v="24"/>
    <x v="0"/>
    <x v="4"/>
    <n v="5"/>
    <n v="10"/>
    <n v="38908.800000000003"/>
    <n v="4"/>
    <n v="21616"/>
  </r>
  <r>
    <x v="4"/>
    <x v="0"/>
    <x v="74"/>
    <x v="91"/>
    <x v="2"/>
    <x v="0"/>
    <n v="50"/>
    <x v="3"/>
    <s v="Confirmed"/>
    <n v="13"/>
    <x v="1"/>
    <x v="2"/>
    <n v="1"/>
    <n v="10"/>
    <n v="108216"/>
    <n v="10"/>
    <n v="24048"/>
  </r>
  <r>
    <x v="2"/>
    <x v="2"/>
    <x v="90"/>
    <x v="92"/>
    <x v="0"/>
    <x v="1"/>
    <n v="50"/>
    <x v="4"/>
    <s v="Confirmed"/>
    <n v="14"/>
    <x v="0"/>
    <x v="2"/>
    <n v="3"/>
    <n v="15"/>
    <n v="51063.75"/>
    <n v="6"/>
    <n v="20025"/>
  </r>
  <r>
    <x v="2"/>
    <x v="0"/>
    <x v="50"/>
    <x v="93"/>
    <x v="0"/>
    <x v="0"/>
    <n v="50"/>
    <x v="4"/>
    <s v="Confirmed"/>
    <n v="19"/>
    <x v="1"/>
    <x v="3"/>
    <n v="1"/>
    <n v="15"/>
    <n v="26660.25"/>
    <n v="6"/>
    <n v="10455"/>
  </r>
  <r>
    <x v="2"/>
    <x v="2"/>
    <x v="91"/>
    <x v="94"/>
    <x v="1"/>
    <x v="2"/>
    <n v="50"/>
    <x v="3"/>
    <s v="Confirmed"/>
    <n v="18"/>
    <x v="0"/>
    <x v="3"/>
    <n v="5"/>
    <n v="0"/>
    <n v="106995"/>
    <n v="10"/>
    <n v="21399"/>
  </r>
  <r>
    <x v="2"/>
    <x v="0"/>
    <x v="45"/>
    <x v="95"/>
    <x v="3"/>
    <x v="2"/>
    <n v="50"/>
    <x v="3"/>
    <s v="Confirmed"/>
    <n v="1"/>
    <x v="0"/>
    <x v="0"/>
    <n v="5"/>
    <n v="15"/>
    <n v="56193.5"/>
    <n v="10"/>
    <n v="13222"/>
  </r>
  <r>
    <x v="3"/>
    <x v="0"/>
    <x v="92"/>
    <x v="96"/>
    <x v="3"/>
    <x v="0"/>
    <n v="50"/>
    <x v="4"/>
    <s v="Confirmed"/>
    <n v="1"/>
    <x v="1"/>
    <x v="0"/>
    <n v="1"/>
    <n v="15"/>
    <n v="114160.95"/>
    <n v="6"/>
    <n v="44769"/>
  </r>
  <r>
    <x v="5"/>
    <x v="0"/>
    <x v="9"/>
    <x v="14"/>
    <x v="3"/>
    <x v="1"/>
    <n v="50"/>
    <x v="3"/>
    <s v="Cancelled"/>
    <n v="30"/>
    <x v="0"/>
    <x v="2"/>
    <n v="3"/>
    <n v="10"/>
    <n v="0"/>
    <n v="10"/>
    <n v="0"/>
  </r>
  <r>
    <x v="0"/>
    <x v="2"/>
    <x v="93"/>
    <x v="97"/>
    <x v="2"/>
    <x v="1"/>
    <n v="50"/>
    <x v="2"/>
    <s v="Confirmed"/>
    <n v="6"/>
    <x v="1"/>
    <x v="1"/>
    <n v="5"/>
    <n v="5"/>
    <n v="33033.4"/>
    <n v="4"/>
    <n v="17386"/>
  </r>
  <r>
    <x v="1"/>
    <x v="0"/>
    <x v="94"/>
    <x v="98"/>
    <x v="2"/>
    <x v="0"/>
    <n v="50"/>
    <x v="2"/>
    <s v="Confirmed"/>
    <n v="25"/>
    <x v="1"/>
    <x v="1"/>
    <n v="5"/>
    <n v="10"/>
    <n v="15080.4"/>
    <n v="4"/>
    <n v="8378"/>
  </r>
  <r>
    <x v="5"/>
    <x v="1"/>
    <x v="95"/>
    <x v="99"/>
    <x v="0"/>
    <x v="0"/>
    <n v="50"/>
    <x v="2"/>
    <s v="Confirmed"/>
    <n v="12"/>
    <x v="1"/>
    <x v="2"/>
    <n v="2"/>
    <n v="10"/>
    <n v="43108.2"/>
    <n v="4"/>
    <n v="23949"/>
  </r>
  <r>
    <x v="3"/>
    <x v="2"/>
    <x v="27"/>
    <x v="14"/>
    <x v="3"/>
    <x v="1"/>
    <n v="50"/>
    <x v="2"/>
    <s v="Cancelled"/>
    <n v="3"/>
    <x v="1"/>
    <x v="1"/>
    <n v="1"/>
    <n v="15"/>
    <n v="0"/>
    <n v="4"/>
    <n v="0"/>
  </r>
  <r>
    <x v="5"/>
    <x v="0"/>
    <x v="77"/>
    <x v="100"/>
    <x v="3"/>
    <x v="0"/>
    <n v="50"/>
    <x v="3"/>
    <s v="Confirmed"/>
    <n v="22"/>
    <x v="1"/>
    <x v="0"/>
    <n v="2"/>
    <n v="0"/>
    <n v="92190"/>
    <n v="10"/>
    <n v="18438"/>
  </r>
  <r>
    <x v="2"/>
    <x v="0"/>
    <x v="96"/>
    <x v="101"/>
    <x v="3"/>
    <x v="1"/>
    <n v="50"/>
    <x v="3"/>
    <s v="Confirmed"/>
    <n v="28"/>
    <x v="0"/>
    <x v="3"/>
    <n v="3"/>
    <n v="15"/>
    <n v="61735.5"/>
    <n v="10"/>
    <n v="14526"/>
  </r>
  <r>
    <x v="1"/>
    <x v="0"/>
    <x v="97"/>
    <x v="102"/>
    <x v="3"/>
    <x v="2"/>
    <n v="50"/>
    <x v="3"/>
    <s v="Confirmed"/>
    <n v="11"/>
    <x v="0"/>
    <x v="2"/>
    <n v="4"/>
    <n v="5"/>
    <n v="68172"/>
    <n v="10"/>
    <n v="14352"/>
  </r>
  <r>
    <x v="1"/>
    <x v="0"/>
    <x v="98"/>
    <x v="103"/>
    <x v="1"/>
    <x v="2"/>
    <n v="50"/>
    <x v="4"/>
    <s v="Confirmed"/>
    <n v="19"/>
    <x v="0"/>
    <x v="4"/>
    <n v="4"/>
    <n v="10"/>
    <n v="35078.400000000001"/>
    <n v="6"/>
    <n v="12992"/>
  </r>
  <r>
    <x v="5"/>
    <x v="2"/>
    <x v="99"/>
    <x v="104"/>
    <x v="1"/>
    <x v="0"/>
    <n v="50"/>
    <x v="3"/>
    <s v="Confirmed"/>
    <n v="5"/>
    <x v="1"/>
    <x v="4"/>
    <n v="3"/>
    <n v="5"/>
    <n v="25640.5"/>
    <n v="10"/>
    <n v="5398"/>
  </r>
  <r>
    <x v="0"/>
    <x v="1"/>
    <x v="100"/>
    <x v="105"/>
    <x v="3"/>
    <x v="0"/>
    <n v="50"/>
    <x v="2"/>
    <s v="Confirmed"/>
    <n v="4"/>
    <x v="0"/>
    <x v="0"/>
    <n v="5"/>
    <n v="10"/>
    <n v="27972"/>
    <n v="4"/>
    <n v="15540"/>
  </r>
  <r>
    <x v="2"/>
    <x v="2"/>
    <x v="101"/>
    <x v="106"/>
    <x v="3"/>
    <x v="2"/>
    <n v="50"/>
    <x v="2"/>
    <s v="Confirmed"/>
    <n v="1"/>
    <x v="1"/>
    <x v="2"/>
    <n v="2"/>
    <n v="0"/>
    <n v="84856"/>
    <n v="4"/>
    <n v="42428"/>
  </r>
  <r>
    <x v="1"/>
    <x v="2"/>
    <x v="102"/>
    <x v="107"/>
    <x v="1"/>
    <x v="1"/>
    <n v="50"/>
    <x v="1"/>
    <s v="Confirmed"/>
    <n v="23"/>
    <x v="1"/>
    <x v="2"/>
    <n v="1"/>
    <n v="5"/>
    <n v="53454.6"/>
    <n v="2"/>
    <n v="56268"/>
  </r>
  <r>
    <x v="2"/>
    <x v="0"/>
    <x v="103"/>
    <x v="108"/>
    <x v="1"/>
    <x v="0"/>
    <n v="50"/>
    <x v="1"/>
    <s v="Confirmed"/>
    <n v="10"/>
    <x v="0"/>
    <x v="0"/>
    <n v="5"/>
    <n v="10"/>
    <n v="9979.2000000000007"/>
    <n v="2"/>
    <n v="11088"/>
  </r>
  <r>
    <x v="1"/>
    <x v="0"/>
    <x v="104"/>
    <x v="109"/>
    <x v="0"/>
    <x v="0"/>
    <n v="50"/>
    <x v="0"/>
    <s v="Confirmed"/>
    <n v="11"/>
    <x v="1"/>
    <x v="3"/>
    <n v="1"/>
    <n v="0"/>
    <n v="43136"/>
    <n v="8"/>
    <n v="10784"/>
  </r>
  <r>
    <x v="5"/>
    <x v="0"/>
    <x v="105"/>
    <x v="110"/>
    <x v="2"/>
    <x v="1"/>
    <n v="50"/>
    <x v="3"/>
    <s v="Confirmed"/>
    <n v="28"/>
    <x v="0"/>
    <x v="0"/>
    <n v="1"/>
    <n v="10"/>
    <n v="35217"/>
    <n v="10"/>
    <n v="7826"/>
  </r>
  <r>
    <x v="2"/>
    <x v="1"/>
    <x v="106"/>
    <x v="111"/>
    <x v="0"/>
    <x v="1"/>
    <n v="50"/>
    <x v="3"/>
    <s v="Confirmed"/>
    <n v="20"/>
    <x v="1"/>
    <x v="3"/>
    <n v="2"/>
    <n v="5"/>
    <n v="46697.25"/>
    <n v="10"/>
    <n v="9831"/>
  </r>
  <r>
    <x v="3"/>
    <x v="1"/>
    <x v="54"/>
    <x v="112"/>
    <x v="3"/>
    <x v="1"/>
    <n v="50"/>
    <x v="3"/>
    <s v="Confirmed"/>
    <n v="16"/>
    <x v="1"/>
    <x v="2"/>
    <n v="1"/>
    <n v="15"/>
    <n v="59687"/>
    <n v="10"/>
    <n v="14044"/>
  </r>
  <r>
    <x v="4"/>
    <x v="1"/>
    <x v="47"/>
    <x v="113"/>
    <x v="1"/>
    <x v="2"/>
    <n v="50"/>
    <x v="4"/>
    <s v="Confirmed"/>
    <n v="10"/>
    <x v="0"/>
    <x v="4"/>
    <n v="2"/>
    <n v="0"/>
    <n v="160080"/>
    <n v="6"/>
    <n v="53360"/>
  </r>
  <r>
    <x v="1"/>
    <x v="0"/>
    <x v="107"/>
    <x v="114"/>
    <x v="0"/>
    <x v="0"/>
    <n v="50"/>
    <x v="2"/>
    <s v="Confirmed"/>
    <n v="23"/>
    <x v="0"/>
    <x v="0"/>
    <n v="1"/>
    <n v="10"/>
    <n v="32200.2"/>
    <n v="4"/>
    <n v="17889"/>
  </r>
  <r>
    <x v="2"/>
    <x v="2"/>
    <x v="108"/>
    <x v="115"/>
    <x v="2"/>
    <x v="1"/>
    <n v="50"/>
    <x v="3"/>
    <s v="Confirmed"/>
    <n v="23"/>
    <x v="1"/>
    <x v="4"/>
    <n v="4"/>
    <n v="10"/>
    <n v="169128"/>
    <n v="10"/>
    <n v="37584"/>
  </r>
  <r>
    <x v="0"/>
    <x v="0"/>
    <x v="109"/>
    <x v="116"/>
    <x v="1"/>
    <x v="1"/>
    <n v="50"/>
    <x v="2"/>
    <s v="Confirmed"/>
    <n v="9"/>
    <x v="1"/>
    <x v="4"/>
    <n v="2"/>
    <n v="10"/>
    <n v="96451.199999999997"/>
    <n v="4"/>
    <n v="53584"/>
  </r>
  <r>
    <x v="0"/>
    <x v="2"/>
    <x v="110"/>
    <x v="117"/>
    <x v="2"/>
    <x v="0"/>
    <n v="50"/>
    <x v="0"/>
    <s v="Confirmed"/>
    <n v="28"/>
    <x v="1"/>
    <x v="3"/>
    <n v="5"/>
    <n v="0"/>
    <n v="85680"/>
    <n v="8"/>
    <n v="21420"/>
  </r>
  <r>
    <x v="2"/>
    <x v="2"/>
    <x v="46"/>
    <x v="118"/>
    <x v="0"/>
    <x v="0"/>
    <n v="50"/>
    <x v="3"/>
    <s v="Confirmed"/>
    <n v="12"/>
    <x v="1"/>
    <x v="3"/>
    <n v="1"/>
    <n v="5"/>
    <n v="48184"/>
    <n v="10"/>
    <n v="10144"/>
  </r>
  <r>
    <x v="2"/>
    <x v="1"/>
    <x v="111"/>
    <x v="119"/>
    <x v="1"/>
    <x v="2"/>
    <n v="50"/>
    <x v="4"/>
    <s v="Confirmed"/>
    <n v="24"/>
    <x v="1"/>
    <x v="1"/>
    <n v="4"/>
    <n v="10"/>
    <n v="57094.2"/>
    <n v="6"/>
    <n v="21146"/>
  </r>
  <r>
    <x v="4"/>
    <x v="1"/>
    <x v="38"/>
    <x v="120"/>
    <x v="3"/>
    <x v="2"/>
    <n v="50"/>
    <x v="3"/>
    <s v="Confirmed"/>
    <n v="30"/>
    <x v="0"/>
    <x v="4"/>
    <n v="2"/>
    <n v="10"/>
    <n v="86490"/>
    <n v="10"/>
    <n v="19220"/>
  </r>
  <r>
    <x v="5"/>
    <x v="0"/>
    <x v="60"/>
    <x v="121"/>
    <x v="1"/>
    <x v="1"/>
    <n v="50"/>
    <x v="4"/>
    <s v="Confirmed"/>
    <n v="13"/>
    <x v="0"/>
    <x v="1"/>
    <n v="3"/>
    <n v="0"/>
    <n v="43758"/>
    <n v="6"/>
    <n v="14586"/>
  </r>
  <r>
    <x v="0"/>
    <x v="2"/>
    <x v="112"/>
    <x v="14"/>
    <x v="2"/>
    <x v="0"/>
    <n v="50"/>
    <x v="2"/>
    <s v="Cancelled"/>
    <n v="10"/>
    <x v="0"/>
    <x v="4"/>
    <n v="1"/>
    <n v="5"/>
    <n v="0"/>
    <n v="4"/>
    <n v="0"/>
  </r>
  <r>
    <x v="2"/>
    <x v="2"/>
    <x v="7"/>
    <x v="122"/>
    <x v="3"/>
    <x v="2"/>
    <n v="50"/>
    <x v="4"/>
    <s v="Confirmed"/>
    <n v="7"/>
    <x v="1"/>
    <x v="2"/>
    <n v="4"/>
    <n v="10"/>
    <n v="111285.9"/>
    <n v="6"/>
    <n v="41217"/>
  </r>
  <r>
    <x v="5"/>
    <x v="2"/>
    <x v="113"/>
    <x v="123"/>
    <x v="2"/>
    <x v="0"/>
    <n v="50"/>
    <x v="2"/>
    <s v="Confirmed"/>
    <n v="24"/>
    <x v="0"/>
    <x v="1"/>
    <n v="4"/>
    <n v="0"/>
    <n v="8366"/>
    <n v="4"/>
    <n v="4183"/>
  </r>
  <r>
    <x v="0"/>
    <x v="2"/>
    <x v="114"/>
    <x v="124"/>
    <x v="3"/>
    <x v="0"/>
    <n v="50"/>
    <x v="1"/>
    <s v="Confirmed"/>
    <n v="2"/>
    <x v="0"/>
    <x v="2"/>
    <n v="3"/>
    <n v="10"/>
    <n v="25593.3"/>
    <n v="2"/>
    <n v="28437"/>
  </r>
  <r>
    <x v="5"/>
    <x v="0"/>
    <x v="115"/>
    <x v="14"/>
    <x v="3"/>
    <x v="0"/>
    <n v="50"/>
    <x v="2"/>
    <s v="Cancelled"/>
    <n v="7"/>
    <x v="0"/>
    <x v="3"/>
    <n v="1"/>
    <n v="0"/>
    <n v="0"/>
    <n v="4"/>
    <n v="0"/>
  </r>
  <r>
    <x v="0"/>
    <x v="1"/>
    <x v="116"/>
    <x v="125"/>
    <x v="2"/>
    <x v="0"/>
    <n v="50"/>
    <x v="2"/>
    <s v="Confirmed"/>
    <n v="12"/>
    <x v="0"/>
    <x v="1"/>
    <n v="4"/>
    <n v="10"/>
    <n v="44812.800000000003"/>
    <n v="4"/>
    <n v="24896"/>
  </r>
  <r>
    <x v="0"/>
    <x v="0"/>
    <x v="117"/>
    <x v="126"/>
    <x v="2"/>
    <x v="0"/>
    <n v="50"/>
    <x v="0"/>
    <s v="Confirmed"/>
    <n v="12"/>
    <x v="0"/>
    <x v="3"/>
    <n v="3"/>
    <n v="15"/>
    <n v="18475.599999999999"/>
    <n v="8"/>
    <n v="5434"/>
  </r>
  <r>
    <x v="2"/>
    <x v="1"/>
    <x v="118"/>
    <x v="127"/>
    <x v="1"/>
    <x v="0"/>
    <n v="50"/>
    <x v="1"/>
    <s v="Confirmed"/>
    <n v="17"/>
    <x v="1"/>
    <x v="0"/>
    <n v="2"/>
    <n v="10"/>
    <n v="12002.4"/>
    <n v="2"/>
    <n v="13336"/>
  </r>
  <r>
    <x v="5"/>
    <x v="1"/>
    <x v="119"/>
    <x v="128"/>
    <x v="2"/>
    <x v="0"/>
    <n v="50"/>
    <x v="0"/>
    <s v="Confirmed"/>
    <n v="16"/>
    <x v="0"/>
    <x v="4"/>
    <n v="4"/>
    <n v="5"/>
    <n v="84610.8"/>
    <n v="8"/>
    <n v="22266"/>
  </r>
  <r>
    <x v="2"/>
    <x v="0"/>
    <x v="33"/>
    <x v="129"/>
    <x v="2"/>
    <x v="0"/>
    <n v="50"/>
    <x v="4"/>
    <s v="Confirmed"/>
    <n v="1"/>
    <x v="0"/>
    <x v="1"/>
    <n v="5"/>
    <n v="10"/>
    <n v="35181"/>
    <n v="6"/>
    <n v="13030"/>
  </r>
  <r>
    <x v="2"/>
    <x v="1"/>
    <x v="120"/>
    <x v="130"/>
    <x v="3"/>
    <x v="0"/>
    <n v="50"/>
    <x v="0"/>
    <s v="Confirmed"/>
    <n v="16"/>
    <x v="1"/>
    <x v="0"/>
    <n v="3"/>
    <n v="10"/>
    <n v="19533.599999999999"/>
    <n v="8"/>
    <n v="5426"/>
  </r>
  <r>
    <x v="0"/>
    <x v="1"/>
    <x v="121"/>
    <x v="131"/>
    <x v="1"/>
    <x v="0"/>
    <n v="50"/>
    <x v="0"/>
    <s v="Confirmed"/>
    <n v="18"/>
    <x v="1"/>
    <x v="3"/>
    <n v="5"/>
    <n v="5"/>
    <n v="200959.2"/>
    <n v="8"/>
    <n v="52884"/>
  </r>
  <r>
    <x v="2"/>
    <x v="2"/>
    <x v="26"/>
    <x v="132"/>
    <x v="3"/>
    <x v="1"/>
    <n v="50"/>
    <x v="2"/>
    <s v="Confirmed"/>
    <n v="27"/>
    <x v="1"/>
    <x v="4"/>
    <n v="5"/>
    <n v="10"/>
    <n v="59178.6"/>
    <n v="4"/>
    <n v="32877"/>
  </r>
  <r>
    <x v="2"/>
    <x v="0"/>
    <x v="90"/>
    <x v="14"/>
    <x v="2"/>
    <x v="1"/>
    <n v="50"/>
    <x v="2"/>
    <s v="Cancelled"/>
    <n v="30"/>
    <x v="1"/>
    <x v="2"/>
    <n v="1"/>
    <n v="10"/>
    <n v="0"/>
    <n v="4"/>
    <n v="0"/>
  </r>
  <r>
    <x v="4"/>
    <x v="0"/>
    <x v="122"/>
    <x v="133"/>
    <x v="1"/>
    <x v="0"/>
    <n v="50"/>
    <x v="4"/>
    <s v="Confirmed"/>
    <n v="23"/>
    <x v="0"/>
    <x v="0"/>
    <n v="3"/>
    <n v="0"/>
    <n v="111564"/>
    <n v="6"/>
    <n v="37188"/>
  </r>
  <r>
    <x v="1"/>
    <x v="1"/>
    <x v="123"/>
    <x v="134"/>
    <x v="0"/>
    <x v="0"/>
    <n v="50"/>
    <x v="2"/>
    <s v="Confirmed"/>
    <n v="11"/>
    <x v="0"/>
    <x v="4"/>
    <n v="2"/>
    <n v="0"/>
    <n v="40384"/>
    <n v="4"/>
    <n v="20192"/>
  </r>
  <r>
    <x v="3"/>
    <x v="2"/>
    <x v="31"/>
    <x v="135"/>
    <x v="3"/>
    <x v="1"/>
    <n v="50"/>
    <x v="3"/>
    <s v="Confirmed"/>
    <n v="19"/>
    <x v="1"/>
    <x v="1"/>
    <n v="2"/>
    <n v="10"/>
    <n v="53649"/>
    <n v="10"/>
    <n v="11922"/>
  </r>
  <r>
    <x v="2"/>
    <x v="0"/>
    <x v="34"/>
    <x v="136"/>
    <x v="3"/>
    <x v="0"/>
    <n v="50"/>
    <x v="3"/>
    <s v="Confirmed"/>
    <n v="9"/>
    <x v="1"/>
    <x v="3"/>
    <n v="4"/>
    <n v="10"/>
    <n v="21946.5"/>
    <n v="10"/>
    <n v="4877"/>
  </r>
  <r>
    <x v="3"/>
    <x v="1"/>
    <x v="124"/>
    <x v="137"/>
    <x v="3"/>
    <x v="1"/>
    <n v="50"/>
    <x v="4"/>
    <s v="Confirmed"/>
    <n v="16"/>
    <x v="0"/>
    <x v="0"/>
    <n v="1"/>
    <n v="0"/>
    <n v="126912"/>
    <n v="6"/>
    <n v="42304"/>
  </r>
  <r>
    <x v="3"/>
    <x v="2"/>
    <x v="125"/>
    <x v="138"/>
    <x v="0"/>
    <x v="0"/>
    <n v="50"/>
    <x v="2"/>
    <s v="Confirmed"/>
    <n v="4"/>
    <x v="0"/>
    <x v="1"/>
    <n v="2"/>
    <n v="10"/>
    <n v="23554.799999999999"/>
    <n v="4"/>
    <n v="13086"/>
  </r>
  <r>
    <x v="4"/>
    <x v="2"/>
    <x v="126"/>
    <x v="14"/>
    <x v="1"/>
    <x v="0"/>
    <n v="50"/>
    <x v="3"/>
    <s v="Cancelled"/>
    <n v="11"/>
    <x v="1"/>
    <x v="0"/>
    <n v="2"/>
    <n v="0"/>
    <n v="0"/>
    <n v="10"/>
    <n v="0"/>
  </r>
  <r>
    <x v="2"/>
    <x v="2"/>
    <x v="20"/>
    <x v="139"/>
    <x v="3"/>
    <x v="1"/>
    <n v="50"/>
    <x v="3"/>
    <s v="Confirmed"/>
    <n v="16"/>
    <x v="0"/>
    <x v="3"/>
    <n v="4"/>
    <n v="5"/>
    <n v="129219"/>
    <n v="10"/>
    <n v="27204"/>
  </r>
  <r>
    <x v="0"/>
    <x v="2"/>
    <x v="7"/>
    <x v="140"/>
    <x v="0"/>
    <x v="2"/>
    <n v="50"/>
    <x v="4"/>
    <s v="Confirmed"/>
    <n v="18"/>
    <x v="0"/>
    <x v="2"/>
    <n v="4"/>
    <n v="15"/>
    <n v="68411.399999999994"/>
    <n v="6"/>
    <n v="26828"/>
  </r>
  <r>
    <x v="4"/>
    <x v="0"/>
    <x v="127"/>
    <x v="141"/>
    <x v="2"/>
    <x v="0"/>
    <n v="50"/>
    <x v="4"/>
    <s v="Confirmed"/>
    <n v="18"/>
    <x v="1"/>
    <x v="2"/>
    <n v="3"/>
    <n v="10"/>
    <n v="59648.4"/>
    <n v="6"/>
    <n v="22092"/>
  </r>
  <r>
    <x v="4"/>
    <x v="2"/>
    <x v="128"/>
    <x v="14"/>
    <x v="1"/>
    <x v="1"/>
    <n v="50"/>
    <x v="2"/>
    <s v="Cancelled"/>
    <n v="20"/>
    <x v="1"/>
    <x v="0"/>
    <n v="1"/>
    <n v="10"/>
    <n v="0"/>
    <n v="4"/>
    <n v="0"/>
  </r>
  <r>
    <x v="2"/>
    <x v="2"/>
    <x v="129"/>
    <x v="142"/>
    <x v="2"/>
    <x v="2"/>
    <n v="50"/>
    <x v="2"/>
    <s v="Confirmed"/>
    <n v="8"/>
    <x v="0"/>
    <x v="1"/>
    <n v="5"/>
    <n v="10"/>
    <n v="14446.8"/>
    <n v="4"/>
    <n v="8026"/>
  </r>
  <r>
    <x v="3"/>
    <x v="2"/>
    <x v="130"/>
    <x v="143"/>
    <x v="0"/>
    <x v="0"/>
    <n v="50"/>
    <x v="1"/>
    <s v="Confirmed"/>
    <n v="16"/>
    <x v="1"/>
    <x v="4"/>
    <n v="1"/>
    <n v="5"/>
    <n v="21960.2"/>
    <n v="2"/>
    <n v="23116"/>
  </r>
  <r>
    <x v="3"/>
    <x v="1"/>
    <x v="131"/>
    <x v="144"/>
    <x v="1"/>
    <x v="0"/>
    <n v="50"/>
    <x v="2"/>
    <s v="Confirmed"/>
    <n v="16"/>
    <x v="0"/>
    <x v="2"/>
    <n v="4"/>
    <n v="15"/>
    <n v="16916.7"/>
    <n v="4"/>
    <n v="9951"/>
  </r>
  <r>
    <x v="1"/>
    <x v="1"/>
    <x v="132"/>
    <x v="145"/>
    <x v="2"/>
    <x v="0"/>
    <n v="50"/>
    <x v="3"/>
    <s v="Confirmed"/>
    <n v="6"/>
    <x v="0"/>
    <x v="2"/>
    <n v="5"/>
    <n v="15"/>
    <n v="51994.5"/>
    <n v="10"/>
    <n v="12234"/>
  </r>
  <r>
    <x v="1"/>
    <x v="1"/>
    <x v="133"/>
    <x v="146"/>
    <x v="1"/>
    <x v="0"/>
    <n v="50"/>
    <x v="1"/>
    <s v="Confirmed"/>
    <n v="25"/>
    <x v="0"/>
    <x v="4"/>
    <n v="1"/>
    <n v="0"/>
    <n v="42981"/>
    <n v="2"/>
    <n v="42981"/>
  </r>
  <r>
    <x v="4"/>
    <x v="2"/>
    <x v="134"/>
    <x v="147"/>
    <x v="2"/>
    <x v="0"/>
    <n v="50"/>
    <x v="4"/>
    <s v="Confirmed"/>
    <n v="21"/>
    <x v="1"/>
    <x v="0"/>
    <n v="1"/>
    <n v="15"/>
    <n v="74503.350000000006"/>
    <n v="6"/>
    <n v="29217"/>
  </r>
  <r>
    <x v="1"/>
    <x v="1"/>
    <x v="135"/>
    <x v="148"/>
    <x v="2"/>
    <x v="0"/>
    <n v="50"/>
    <x v="2"/>
    <s v="Confirmed"/>
    <n v="12"/>
    <x v="1"/>
    <x v="2"/>
    <n v="2"/>
    <n v="15"/>
    <n v="52693.2"/>
    <n v="4"/>
    <n v="30996"/>
  </r>
  <r>
    <x v="0"/>
    <x v="0"/>
    <x v="136"/>
    <x v="149"/>
    <x v="1"/>
    <x v="0"/>
    <n v="50"/>
    <x v="0"/>
    <s v="Confirmed"/>
    <n v="24"/>
    <x v="1"/>
    <x v="2"/>
    <n v="2"/>
    <n v="15"/>
    <n v="28369.599999999999"/>
    <n v="8"/>
    <n v="8344"/>
  </r>
  <r>
    <x v="4"/>
    <x v="0"/>
    <x v="110"/>
    <x v="150"/>
    <x v="1"/>
    <x v="0"/>
    <n v="50"/>
    <x v="1"/>
    <s v="Confirmed"/>
    <n v="3"/>
    <x v="1"/>
    <x v="2"/>
    <n v="3"/>
    <n v="15"/>
    <n v="25719.3"/>
    <n v="2"/>
    <n v="30258"/>
  </r>
  <r>
    <x v="2"/>
    <x v="2"/>
    <x v="137"/>
    <x v="151"/>
    <x v="1"/>
    <x v="2"/>
    <n v="50"/>
    <x v="3"/>
    <s v="Confirmed"/>
    <n v="5"/>
    <x v="0"/>
    <x v="3"/>
    <n v="5"/>
    <n v="0"/>
    <n v="40805"/>
    <n v="10"/>
    <n v="8161"/>
  </r>
  <r>
    <x v="3"/>
    <x v="0"/>
    <x v="138"/>
    <x v="152"/>
    <x v="2"/>
    <x v="0"/>
    <n v="50"/>
    <x v="2"/>
    <s v="Confirmed"/>
    <n v="12"/>
    <x v="0"/>
    <x v="2"/>
    <n v="3"/>
    <n v="5"/>
    <n v="22708.799999999999"/>
    <n v="4"/>
    <n v="11952"/>
  </r>
  <r>
    <x v="3"/>
    <x v="1"/>
    <x v="35"/>
    <x v="153"/>
    <x v="2"/>
    <x v="1"/>
    <n v="50"/>
    <x v="2"/>
    <s v="Confirmed"/>
    <n v="9"/>
    <x v="1"/>
    <x v="4"/>
    <n v="4"/>
    <n v="0"/>
    <n v="14540"/>
    <n v="4"/>
    <n v="7270"/>
  </r>
  <r>
    <x v="1"/>
    <x v="0"/>
    <x v="58"/>
    <x v="154"/>
    <x v="0"/>
    <x v="0"/>
    <n v="50"/>
    <x v="1"/>
    <s v="Confirmed"/>
    <n v="3"/>
    <x v="1"/>
    <x v="3"/>
    <n v="2"/>
    <n v="15"/>
    <n v="3513.9"/>
    <n v="2"/>
    <n v="4134"/>
  </r>
  <r>
    <x v="1"/>
    <x v="1"/>
    <x v="6"/>
    <x v="155"/>
    <x v="2"/>
    <x v="1"/>
    <n v="50"/>
    <x v="2"/>
    <s v="Confirmed"/>
    <n v="10"/>
    <x v="0"/>
    <x v="2"/>
    <n v="4"/>
    <n v="5"/>
    <n v="28773.599999999999"/>
    <n v="4"/>
    <n v="15144"/>
  </r>
  <r>
    <x v="3"/>
    <x v="2"/>
    <x v="101"/>
    <x v="156"/>
    <x v="1"/>
    <x v="2"/>
    <n v="50"/>
    <x v="2"/>
    <s v="Confirmed"/>
    <n v="30"/>
    <x v="0"/>
    <x v="3"/>
    <n v="2"/>
    <n v="10"/>
    <n v="28441.8"/>
    <n v="4"/>
    <n v="15801"/>
  </r>
  <r>
    <x v="1"/>
    <x v="0"/>
    <x v="139"/>
    <x v="157"/>
    <x v="0"/>
    <x v="1"/>
    <n v="50"/>
    <x v="3"/>
    <s v="Confirmed"/>
    <n v="5"/>
    <x v="0"/>
    <x v="1"/>
    <n v="3"/>
    <n v="15"/>
    <n v="67371"/>
    <n v="10"/>
    <n v="15852"/>
  </r>
  <r>
    <x v="1"/>
    <x v="2"/>
    <x v="140"/>
    <x v="158"/>
    <x v="2"/>
    <x v="2"/>
    <n v="50"/>
    <x v="1"/>
    <s v="Confirmed"/>
    <n v="11"/>
    <x v="1"/>
    <x v="1"/>
    <n v="1"/>
    <n v="15"/>
    <n v="36174.300000000003"/>
    <n v="2"/>
    <n v="42558"/>
  </r>
  <r>
    <x v="0"/>
    <x v="0"/>
    <x v="141"/>
    <x v="14"/>
    <x v="3"/>
    <x v="2"/>
    <n v="50"/>
    <x v="1"/>
    <s v="Cancelled"/>
    <n v="16"/>
    <x v="1"/>
    <x v="0"/>
    <n v="5"/>
    <n v="5"/>
    <n v="0"/>
    <n v="2"/>
    <n v="0"/>
  </r>
  <r>
    <x v="4"/>
    <x v="1"/>
    <x v="142"/>
    <x v="159"/>
    <x v="2"/>
    <x v="0"/>
    <n v="50"/>
    <x v="3"/>
    <s v="Confirmed"/>
    <n v="22"/>
    <x v="1"/>
    <x v="1"/>
    <n v="5"/>
    <n v="0"/>
    <n v="156080"/>
    <n v="10"/>
    <n v="31216"/>
  </r>
  <r>
    <x v="0"/>
    <x v="2"/>
    <x v="143"/>
    <x v="160"/>
    <x v="0"/>
    <x v="0"/>
    <n v="50"/>
    <x v="0"/>
    <s v="Confirmed"/>
    <n v="26"/>
    <x v="0"/>
    <x v="1"/>
    <n v="3"/>
    <n v="0"/>
    <n v="173340"/>
    <n v="8"/>
    <n v="43335"/>
  </r>
  <r>
    <x v="1"/>
    <x v="2"/>
    <x v="42"/>
    <x v="161"/>
    <x v="1"/>
    <x v="0"/>
    <n v="50"/>
    <x v="0"/>
    <s v="Confirmed"/>
    <n v="21"/>
    <x v="0"/>
    <x v="1"/>
    <n v="3"/>
    <n v="10"/>
    <n v="99820.800000000003"/>
    <n v="8"/>
    <n v="27728"/>
  </r>
  <r>
    <x v="4"/>
    <x v="2"/>
    <x v="89"/>
    <x v="162"/>
    <x v="0"/>
    <x v="1"/>
    <n v="50"/>
    <x v="2"/>
    <s v="Confirmed"/>
    <n v="3"/>
    <x v="1"/>
    <x v="3"/>
    <n v="3"/>
    <n v="0"/>
    <n v="23396"/>
    <n v="4"/>
    <n v="11698"/>
  </r>
  <r>
    <x v="3"/>
    <x v="1"/>
    <x v="144"/>
    <x v="163"/>
    <x v="1"/>
    <x v="0"/>
    <n v="50"/>
    <x v="2"/>
    <s v="Confirmed"/>
    <n v="8"/>
    <x v="0"/>
    <x v="0"/>
    <n v="5"/>
    <n v="5"/>
    <n v="40504.199999999997"/>
    <n v="4"/>
    <n v="21318"/>
  </r>
  <r>
    <x v="3"/>
    <x v="1"/>
    <x v="145"/>
    <x v="164"/>
    <x v="2"/>
    <x v="0"/>
    <n v="50"/>
    <x v="1"/>
    <s v="Confirmed"/>
    <n v="2"/>
    <x v="0"/>
    <x v="0"/>
    <n v="1"/>
    <n v="5"/>
    <n v="17071.5"/>
    <n v="2"/>
    <n v="17970"/>
  </r>
  <r>
    <x v="1"/>
    <x v="0"/>
    <x v="15"/>
    <x v="165"/>
    <x v="1"/>
    <x v="2"/>
    <n v="50"/>
    <x v="0"/>
    <s v="Confirmed"/>
    <n v="25"/>
    <x v="0"/>
    <x v="0"/>
    <n v="4"/>
    <n v="5"/>
    <n v="91485"/>
    <n v="8"/>
    <n v="24075"/>
  </r>
  <r>
    <x v="0"/>
    <x v="2"/>
    <x v="146"/>
    <x v="166"/>
    <x v="2"/>
    <x v="0"/>
    <n v="50"/>
    <x v="4"/>
    <s v="Confirmed"/>
    <n v="21"/>
    <x v="0"/>
    <x v="3"/>
    <n v="5"/>
    <n v="0"/>
    <n v="101007"/>
    <n v="6"/>
    <n v="33669"/>
  </r>
  <r>
    <x v="3"/>
    <x v="0"/>
    <x v="147"/>
    <x v="167"/>
    <x v="3"/>
    <x v="0"/>
    <n v="50"/>
    <x v="4"/>
    <s v="Confirmed"/>
    <n v="11"/>
    <x v="0"/>
    <x v="0"/>
    <n v="5"/>
    <n v="10"/>
    <n v="146048.4"/>
    <n v="6"/>
    <n v="54092"/>
  </r>
  <r>
    <x v="5"/>
    <x v="0"/>
    <x v="39"/>
    <x v="14"/>
    <x v="3"/>
    <x v="1"/>
    <n v="50"/>
    <x v="3"/>
    <s v="Cancelled"/>
    <n v="30"/>
    <x v="1"/>
    <x v="0"/>
    <n v="3"/>
    <n v="0"/>
    <n v="0"/>
    <n v="10"/>
    <n v="0"/>
  </r>
  <r>
    <x v="3"/>
    <x v="0"/>
    <x v="148"/>
    <x v="168"/>
    <x v="2"/>
    <x v="0"/>
    <n v="50"/>
    <x v="3"/>
    <s v="Confirmed"/>
    <n v="30"/>
    <x v="1"/>
    <x v="2"/>
    <n v="3"/>
    <n v="5"/>
    <n v="238469"/>
    <n v="10"/>
    <n v="50204"/>
  </r>
  <r>
    <x v="2"/>
    <x v="2"/>
    <x v="149"/>
    <x v="14"/>
    <x v="1"/>
    <x v="0"/>
    <n v="50"/>
    <x v="4"/>
    <s v="Cancelled"/>
    <n v="15"/>
    <x v="1"/>
    <x v="2"/>
    <n v="4"/>
    <n v="0"/>
    <n v="0"/>
    <n v="6"/>
    <n v="0"/>
  </r>
  <r>
    <x v="1"/>
    <x v="1"/>
    <x v="150"/>
    <x v="169"/>
    <x v="1"/>
    <x v="0"/>
    <n v="50"/>
    <x v="3"/>
    <s v="Confirmed"/>
    <n v="5"/>
    <x v="1"/>
    <x v="3"/>
    <n v="1"/>
    <n v="5"/>
    <n v="59071"/>
    <n v="10"/>
    <n v="12436"/>
  </r>
  <r>
    <x v="0"/>
    <x v="0"/>
    <x v="69"/>
    <x v="170"/>
    <x v="0"/>
    <x v="0"/>
    <n v="50"/>
    <x v="2"/>
    <s v="Confirmed"/>
    <n v="11"/>
    <x v="0"/>
    <x v="3"/>
    <n v="5"/>
    <n v="15"/>
    <n v="42418.400000000001"/>
    <n v="4"/>
    <n v="24952"/>
  </r>
  <r>
    <x v="4"/>
    <x v="2"/>
    <x v="151"/>
    <x v="171"/>
    <x v="2"/>
    <x v="2"/>
    <n v="50"/>
    <x v="3"/>
    <s v="Confirmed"/>
    <n v="22"/>
    <x v="1"/>
    <x v="1"/>
    <n v="1"/>
    <n v="10"/>
    <n v="72288"/>
    <n v="10"/>
    <n v="16064"/>
  </r>
  <r>
    <x v="3"/>
    <x v="0"/>
    <x v="72"/>
    <x v="172"/>
    <x v="3"/>
    <x v="0"/>
    <n v="50"/>
    <x v="2"/>
    <s v="Confirmed"/>
    <n v="2"/>
    <x v="0"/>
    <x v="1"/>
    <n v="1"/>
    <n v="10"/>
    <n v="23535"/>
    <n v="4"/>
    <n v="13075"/>
  </r>
  <r>
    <x v="3"/>
    <x v="2"/>
    <x v="117"/>
    <x v="14"/>
    <x v="3"/>
    <x v="0"/>
    <n v="50"/>
    <x v="4"/>
    <s v="Cancelled"/>
    <n v="17"/>
    <x v="1"/>
    <x v="3"/>
    <n v="2"/>
    <n v="15"/>
    <n v="0"/>
    <n v="6"/>
    <n v="0"/>
  </r>
  <r>
    <x v="1"/>
    <x v="2"/>
    <x v="152"/>
    <x v="173"/>
    <x v="1"/>
    <x v="0"/>
    <n v="50"/>
    <x v="0"/>
    <s v="Confirmed"/>
    <n v="19"/>
    <x v="0"/>
    <x v="0"/>
    <n v="5"/>
    <n v="5"/>
    <n v="170650.4"/>
    <n v="8"/>
    <n v="44908"/>
  </r>
  <r>
    <x v="2"/>
    <x v="0"/>
    <x v="1"/>
    <x v="174"/>
    <x v="1"/>
    <x v="0"/>
    <n v="50"/>
    <x v="1"/>
    <s v="Confirmed"/>
    <n v="3"/>
    <x v="1"/>
    <x v="0"/>
    <n v="4"/>
    <n v="10"/>
    <n v="34207.199999999997"/>
    <n v="2"/>
    <n v="38008"/>
  </r>
  <r>
    <x v="5"/>
    <x v="1"/>
    <x v="153"/>
    <x v="175"/>
    <x v="2"/>
    <x v="2"/>
    <n v="50"/>
    <x v="1"/>
    <s v="Confirmed"/>
    <n v="30"/>
    <x v="0"/>
    <x v="2"/>
    <n v="1"/>
    <n v="15"/>
    <n v="8367.4"/>
    <n v="2"/>
    <n v="9844"/>
  </r>
  <r>
    <x v="5"/>
    <x v="0"/>
    <x v="65"/>
    <x v="176"/>
    <x v="0"/>
    <x v="0"/>
    <n v="50"/>
    <x v="0"/>
    <s v="Confirmed"/>
    <n v="17"/>
    <x v="0"/>
    <x v="0"/>
    <n v="2"/>
    <n v="15"/>
    <n v="104216.8"/>
    <n v="8"/>
    <n v="30652"/>
  </r>
  <r>
    <x v="1"/>
    <x v="2"/>
    <x v="154"/>
    <x v="177"/>
    <x v="3"/>
    <x v="0"/>
    <n v="50"/>
    <x v="4"/>
    <s v="Confirmed"/>
    <n v="22"/>
    <x v="1"/>
    <x v="4"/>
    <n v="4"/>
    <n v="15"/>
    <n v="40366.5"/>
    <n v="6"/>
    <n v="15830"/>
  </r>
  <r>
    <x v="2"/>
    <x v="1"/>
    <x v="155"/>
    <x v="178"/>
    <x v="2"/>
    <x v="0"/>
    <n v="50"/>
    <x v="1"/>
    <s v="Confirmed"/>
    <n v="17"/>
    <x v="0"/>
    <x v="3"/>
    <n v="3"/>
    <n v="0"/>
    <n v="14802"/>
    <n v="2"/>
    <n v="14802"/>
  </r>
  <r>
    <x v="3"/>
    <x v="0"/>
    <x v="58"/>
    <x v="179"/>
    <x v="0"/>
    <x v="0"/>
    <n v="50"/>
    <x v="4"/>
    <s v="Confirmed"/>
    <n v="12"/>
    <x v="1"/>
    <x v="2"/>
    <n v="1"/>
    <n v="10"/>
    <n v="54145.8"/>
    <n v="6"/>
    <n v="20054"/>
  </r>
  <r>
    <x v="2"/>
    <x v="2"/>
    <x v="156"/>
    <x v="14"/>
    <x v="2"/>
    <x v="0"/>
    <n v="50"/>
    <x v="1"/>
    <s v="Cancelled"/>
    <n v="13"/>
    <x v="0"/>
    <x v="4"/>
    <n v="3"/>
    <n v="15"/>
    <n v="0"/>
    <n v="2"/>
    <n v="0"/>
  </r>
  <r>
    <x v="5"/>
    <x v="1"/>
    <x v="157"/>
    <x v="14"/>
    <x v="1"/>
    <x v="0"/>
    <n v="50"/>
    <x v="4"/>
    <s v="Cancelled"/>
    <n v="15"/>
    <x v="1"/>
    <x v="0"/>
    <n v="3"/>
    <n v="5"/>
    <n v="0"/>
    <n v="6"/>
    <n v="0"/>
  </r>
  <r>
    <x v="5"/>
    <x v="2"/>
    <x v="158"/>
    <x v="180"/>
    <x v="2"/>
    <x v="2"/>
    <n v="50"/>
    <x v="2"/>
    <s v="Confirmed"/>
    <n v="7"/>
    <x v="0"/>
    <x v="2"/>
    <n v="4"/>
    <n v="5"/>
    <n v="17578.8"/>
    <n v="4"/>
    <n v="9252"/>
  </r>
  <r>
    <x v="0"/>
    <x v="1"/>
    <x v="65"/>
    <x v="14"/>
    <x v="3"/>
    <x v="0"/>
    <n v="50"/>
    <x v="2"/>
    <s v="Cancelled"/>
    <n v="14"/>
    <x v="0"/>
    <x v="3"/>
    <n v="1"/>
    <n v="10"/>
    <n v="0"/>
    <n v="4"/>
    <n v="0"/>
  </r>
  <r>
    <x v="1"/>
    <x v="0"/>
    <x v="159"/>
    <x v="181"/>
    <x v="2"/>
    <x v="1"/>
    <n v="50"/>
    <x v="0"/>
    <s v="Confirmed"/>
    <n v="15"/>
    <x v="1"/>
    <x v="4"/>
    <n v="5"/>
    <n v="0"/>
    <n v="26280"/>
    <n v="8"/>
    <n v="6570"/>
  </r>
  <r>
    <x v="0"/>
    <x v="1"/>
    <x v="160"/>
    <x v="182"/>
    <x v="1"/>
    <x v="1"/>
    <n v="50"/>
    <x v="0"/>
    <s v="Confirmed"/>
    <n v="1"/>
    <x v="1"/>
    <x v="3"/>
    <n v="5"/>
    <n v="15"/>
    <n v="125337.60000000001"/>
    <n v="8"/>
    <n v="36864"/>
  </r>
  <r>
    <x v="4"/>
    <x v="1"/>
    <x v="161"/>
    <x v="183"/>
    <x v="1"/>
    <x v="1"/>
    <n v="50"/>
    <x v="4"/>
    <s v="Confirmed"/>
    <n v="21"/>
    <x v="1"/>
    <x v="4"/>
    <n v="5"/>
    <n v="5"/>
    <n v="26408.1"/>
    <n v="6"/>
    <n v="9266"/>
  </r>
  <r>
    <x v="3"/>
    <x v="0"/>
    <x v="57"/>
    <x v="184"/>
    <x v="1"/>
    <x v="0"/>
    <n v="50"/>
    <x v="0"/>
    <s v="Confirmed"/>
    <n v="27"/>
    <x v="0"/>
    <x v="4"/>
    <n v="3"/>
    <n v="10"/>
    <n v="104770.8"/>
    <n v="8"/>
    <n v="29103"/>
  </r>
  <r>
    <x v="2"/>
    <x v="1"/>
    <x v="162"/>
    <x v="185"/>
    <x v="3"/>
    <x v="2"/>
    <n v="50"/>
    <x v="3"/>
    <s v="Confirmed"/>
    <n v="18"/>
    <x v="0"/>
    <x v="0"/>
    <n v="1"/>
    <n v="0"/>
    <n v="124680"/>
    <n v="10"/>
    <n v="24936"/>
  </r>
  <r>
    <x v="1"/>
    <x v="1"/>
    <x v="163"/>
    <x v="186"/>
    <x v="3"/>
    <x v="2"/>
    <n v="50"/>
    <x v="1"/>
    <s v="Confirmed"/>
    <n v="28"/>
    <x v="1"/>
    <x v="3"/>
    <n v="5"/>
    <n v="15"/>
    <n v="5128.05"/>
    <n v="2"/>
    <n v="6033"/>
  </r>
  <r>
    <x v="3"/>
    <x v="1"/>
    <x v="139"/>
    <x v="187"/>
    <x v="3"/>
    <x v="1"/>
    <n v="50"/>
    <x v="4"/>
    <s v="Confirmed"/>
    <n v="20"/>
    <x v="0"/>
    <x v="0"/>
    <n v="4"/>
    <n v="15"/>
    <n v="116249.4"/>
    <n v="6"/>
    <n v="45588"/>
  </r>
  <r>
    <x v="5"/>
    <x v="0"/>
    <x v="146"/>
    <x v="188"/>
    <x v="1"/>
    <x v="0"/>
    <n v="50"/>
    <x v="2"/>
    <s v="Confirmed"/>
    <n v="11"/>
    <x v="1"/>
    <x v="2"/>
    <n v="5"/>
    <n v="10"/>
    <n v="101217.60000000001"/>
    <n v="4"/>
    <n v="56232"/>
  </r>
  <r>
    <x v="4"/>
    <x v="2"/>
    <x v="164"/>
    <x v="189"/>
    <x v="0"/>
    <x v="0"/>
    <n v="50"/>
    <x v="0"/>
    <s v="Confirmed"/>
    <n v="6"/>
    <x v="0"/>
    <x v="1"/>
    <n v="2"/>
    <n v="15"/>
    <n v="48871.6"/>
    <n v="8"/>
    <n v="14374"/>
  </r>
  <r>
    <x v="1"/>
    <x v="1"/>
    <x v="165"/>
    <x v="190"/>
    <x v="3"/>
    <x v="1"/>
    <n v="50"/>
    <x v="3"/>
    <s v="Confirmed"/>
    <n v="23"/>
    <x v="1"/>
    <x v="3"/>
    <n v="1"/>
    <n v="0"/>
    <n v="37035"/>
    <n v="10"/>
    <n v="7407"/>
  </r>
  <r>
    <x v="1"/>
    <x v="2"/>
    <x v="100"/>
    <x v="191"/>
    <x v="1"/>
    <x v="0"/>
    <n v="50"/>
    <x v="0"/>
    <s v="Confirmed"/>
    <n v="28"/>
    <x v="1"/>
    <x v="1"/>
    <n v="5"/>
    <n v="10"/>
    <n v="190756.8"/>
    <n v="8"/>
    <n v="52988"/>
  </r>
  <r>
    <x v="3"/>
    <x v="0"/>
    <x v="94"/>
    <x v="192"/>
    <x v="0"/>
    <x v="0"/>
    <n v="50"/>
    <x v="3"/>
    <s v="Confirmed"/>
    <n v="2"/>
    <x v="0"/>
    <x v="2"/>
    <n v="2"/>
    <n v="5"/>
    <n v="122084.5"/>
    <n v="10"/>
    <n v="25702"/>
  </r>
  <r>
    <x v="1"/>
    <x v="2"/>
    <x v="166"/>
    <x v="193"/>
    <x v="0"/>
    <x v="0"/>
    <n v="50"/>
    <x v="2"/>
    <s v="Confirmed"/>
    <n v="5"/>
    <x v="1"/>
    <x v="4"/>
    <n v="3"/>
    <n v="10"/>
    <n v="40593.599999999999"/>
    <n v="4"/>
    <n v="22552"/>
  </r>
  <r>
    <x v="2"/>
    <x v="1"/>
    <x v="167"/>
    <x v="194"/>
    <x v="3"/>
    <x v="0"/>
    <n v="50"/>
    <x v="4"/>
    <s v="Confirmed"/>
    <n v="6"/>
    <x v="0"/>
    <x v="3"/>
    <n v="1"/>
    <n v="0"/>
    <n v="44781"/>
    <n v="6"/>
    <n v="14927"/>
  </r>
  <r>
    <x v="4"/>
    <x v="0"/>
    <x v="168"/>
    <x v="195"/>
    <x v="1"/>
    <x v="2"/>
    <n v="50"/>
    <x v="2"/>
    <s v="Confirmed"/>
    <n v="1"/>
    <x v="0"/>
    <x v="1"/>
    <n v="4"/>
    <n v="0"/>
    <n v="26268"/>
    <n v="4"/>
    <n v="13134"/>
  </r>
  <r>
    <x v="2"/>
    <x v="0"/>
    <x v="8"/>
    <x v="196"/>
    <x v="0"/>
    <x v="2"/>
    <n v="50"/>
    <x v="3"/>
    <s v="Confirmed"/>
    <n v="18"/>
    <x v="1"/>
    <x v="1"/>
    <n v="5"/>
    <n v="5"/>
    <n v="117429.5"/>
    <n v="10"/>
    <n v="24722"/>
  </r>
  <r>
    <x v="2"/>
    <x v="2"/>
    <x v="124"/>
    <x v="197"/>
    <x v="0"/>
    <x v="1"/>
    <n v="50"/>
    <x v="2"/>
    <s v="Confirmed"/>
    <n v="17"/>
    <x v="0"/>
    <x v="2"/>
    <n v="3"/>
    <n v="10"/>
    <n v="11494.8"/>
    <n v="4"/>
    <n v="6386"/>
  </r>
  <r>
    <x v="0"/>
    <x v="1"/>
    <x v="169"/>
    <x v="198"/>
    <x v="3"/>
    <x v="2"/>
    <n v="50"/>
    <x v="0"/>
    <s v="Confirmed"/>
    <n v="30"/>
    <x v="1"/>
    <x v="4"/>
    <n v="2"/>
    <n v="0"/>
    <n v="89792"/>
    <n v="8"/>
    <n v="22448"/>
  </r>
  <r>
    <x v="3"/>
    <x v="0"/>
    <x v="91"/>
    <x v="199"/>
    <x v="0"/>
    <x v="2"/>
    <n v="50"/>
    <x v="3"/>
    <s v="Confirmed"/>
    <n v="9"/>
    <x v="0"/>
    <x v="1"/>
    <n v="2"/>
    <n v="0"/>
    <n v="280380"/>
    <n v="10"/>
    <n v="56076"/>
  </r>
  <r>
    <x v="0"/>
    <x v="1"/>
    <x v="100"/>
    <x v="14"/>
    <x v="2"/>
    <x v="0"/>
    <n v="50"/>
    <x v="4"/>
    <s v="Cancelled"/>
    <n v="29"/>
    <x v="1"/>
    <x v="0"/>
    <n v="3"/>
    <n v="15"/>
    <n v="0"/>
    <n v="6"/>
    <n v="0"/>
  </r>
  <r>
    <x v="2"/>
    <x v="0"/>
    <x v="170"/>
    <x v="14"/>
    <x v="0"/>
    <x v="0"/>
    <n v="50"/>
    <x v="2"/>
    <s v="Cancelled"/>
    <n v="11"/>
    <x v="1"/>
    <x v="4"/>
    <n v="1"/>
    <n v="15"/>
    <n v="0"/>
    <n v="4"/>
    <n v="0"/>
  </r>
  <r>
    <x v="0"/>
    <x v="1"/>
    <x v="30"/>
    <x v="200"/>
    <x v="0"/>
    <x v="2"/>
    <n v="50"/>
    <x v="1"/>
    <s v="Confirmed"/>
    <n v="27"/>
    <x v="0"/>
    <x v="2"/>
    <n v="3"/>
    <n v="0"/>
    <n v="37659"/>
    <n v="2"/>
    <n v="37659"/>
  </r>
  <r>
    <x v="2"/>
    <x v="0"/>
    <x v="24"/>
    <x v="201"/>
    <x v="2"/>
    <x v="0"/>
    <n v="50"/>
    <x v="3"/>
    <s v="Confirmed"/>
    <n v="9"/>
    <x v="1"/>
    <x v="0"/>
    <n v="2"/>
    <n v="5"/>
    <n v="73302"/>
    <n v="10"/>
    <n v="15432"/>
  </r>
  <r>
    <x v="4"/>
    <x v="1"/>
    <x v="107"/>
    <x v="14"/>
    <x v="1"/>
    <x v="0"/>
    <n v="50"/>
    <x v="3"/>
    <s v="Cancelled"/>
    <n v="4"/>
    <x v="1"/>
    <x v="1"/>
    <n v="5"/>
    <n v="10"/>
    <n v="0"/>
    <n v="10"/>
    <n v="0"/>
  </r>
  <r>
    <x v="1"/>
    <x v="0"/>
    <x v="171"/>
    <x v="14"/>
    <x v="0"/>
    <x v="1"/>
    <n v="50"/>
    <x v="0"/>
    <s v="Cancelled"/>
    <n v="6"/>
    <x v="0"/>
    <x v="3"/>
    <n v="4"/>
    <n v="0"/>
    <n v="0"/>
    <n v="8"/>
    <n v="0"/>
  </r>
  <r>
    <x v="4"/>
    <x v="0"/>
    <x v="169"/>
    <x v="202"/>
    <x v="1"/>
    <x v="2"/>
    <n v="50"/>
    <x v="2"/>
    <s v="Confirmed"/>
    <n v="26"/>
    <x v="0"/>
    <x v="0"/>
    <n v="1"/>
    <n v="15"/>
    <n v="73842.899999999994"/>
    <n v="4"/>
    <n v="43437"/>
  </r>
  <r>
    <x v="3"/>
    <x v="1"/>
    <x v="63"/>
    <x v="203"/>
    <x v="3"/>
    <x v="1"/>
    <n v="50"/>
    <x v="4"/>
    <s v="Confirmed"/>
    <n v="6"/>
    <x v="1"/>
    <x v="4"/>
    <n v="2"/>
    <n v="10"/>
    <n v="58924.800000000003"/>
    <n v="6"/>
    <n v="21824"/>
  </r>
  <r>
    <x v="0"/>
    <x v="1"/>
    <x v="64"/>
    <x v="204"/>
    <x v="1"/>
    <x v="0"/>
    <n v="50"/>
    <x v="2"/>
    <s v="Confirmed"/>
    <n v="22"/>
    <x v="1"/>
    <x v="1"/>
    <n v="1"/>
    <n v="10"/>
    <n v="75931.199999999997"/>
    <n v="4"/>
    <n v="42184"/>
  </r>
  <r>
    <x v="3"/>
    <x v="0"/>
    <x v="130"/>
    <x v="14"/>
    <x v="1"/>
    <x v="0"/>
    <n v="50"/>
    <x v="0"/>
    <s v="Cancelled"/>
    <n v="18"/>
    <x v="1"/>
    <x v="0"/>
    <n v="3"/>
    <n v="15"/>
    <n v="0"/>
    <n v="8"/>
    <n v="0"/>
  </r>
  <r>
    <x v="5"/>
    <x v="0"/>
    <x v="33"/>
    <x v="205"/>
    <x v="3"/>
    <x v="0"/>
    <n v="50"/>
    <x v="3"/>
    <s v="Confirmed"/>
    <n v="9"/>
    <x v="0"/>
    <x v="3"/>
    <n v="3"/>
    <n v="10"/>
    <n v="202338"/>
    <n v="10"/>
    <n v="44964"/>
  </r>
  <r>
    <x v="0"/>
    <x v="0"/>
    <x v="172"/>
    <x v="206"/>
    <x v="3"/>
    <x v="0"/>
    <n v="50"/>
    <x v="1"/>
    <s v="Confirmed"/>
    <n v="10"/>
    <x v="0"/>
    <x v="4"/>
    <n v="2"/>
    <n v="0"/>
    <n v="4678"/>
    <n v="2"/>
    <n v="4678"/>
  </r>
  <r>
    <x v="0"/>
    <x v="0"/>
    <x v="173"/>
    <x v="207"/>
    <x v="0"/>
    <x v="0"/>
    <n v="50"/>
    <x v="3"/>
    <s v="Confirmed"/>
    <n v="4"/>
    <x v="0"/>
    <x v="1"/>
    <n v="2"/>
    <n v="10"/>
    <n v="48636"/>
    <n v="10"/>
    <n v="10808"/>
  </r>
  <r>
    <x v="2"/>
    <x v="1"/>
    <x v="135"/>
    <x v="208"/>
    <x v="3"/>
    <x v="0"/>
    <n v="50"/>
    <x v="4"/>
    <s v="Confirmed"/>
    <n v="18"/>
    <x v="1"/>
    <x v="1"/>
    <n v="4"/>
    <n v="0"/>
    <n v="53868"/>
    <n v="6"/>
    <n v="17956"/>
  </r>
  <r>
    <x v="2"/>
    <x v="0"/>
    <x v="11"/>
    <x v="209"/>
    <x v="0"/>
    <x v="0"/>
    <n v="50"/>
    <x v="0"/>
    <s v="Confirmed"/>
    <n v="19"/>
    <x v="0"/>
    <x v="1"/>
    <n v="5"/>
    <n v="0"/>
    <n v="39560"/>
    <n v="8"/>
    <n v="9890"/>
  </r>
  <r>
    <x v="0"/>
    <x v="2"/>
    <x v="19"/>
    <x v="210"/>
    <x v="0"/>
    <x v="0"/>
    <n v="50"/>
    <x v="1"/>
    <s v="Confirmed"/>
    <n v="1"/>
    <x v="0"/>
    <x v="4"/>
    <n v="2"/>
    <n v="0"/>
    <n v="13254"/>
    <n v="2"/>
    <n v="13254"/>
  </r>
  <r>
    <x v="0"/>
    <x v="0"/>
    <x v="174"/>
    <x v="211"/>
    <x v="3"/>
    <x v="0"/>
    <n v="50"/>
    <x v="4"/>
    <s v="Confirmed"/>
    <n v="8"/>
    <x v="1"/>
    <x v="3"/>
    <n v="4"/>
    <n v="0"/>
    <n v="82323"/>
    <n v="6"/>
    <n v="27441"/>
  </r>
  <r>
    <x v="2"/>
    <x v="0"/>
    <x v="35"/>
    <x v="212"/>
    <x v="1"/>
    <x v="1"/>
    <n v="50"/>
    <x v="4"/>
    <s v="Confirmed"/>
    <n v="2"/>
    <x v="1"/>
    <x v="3"/>
    <n v="1"/>
    <n v="5"/>
    <n v="15495.45"/>
    <n v="6"/>
    <n v="5437"/>
  </r>
  <r>
    <x v="5"/>
    <x v="2"/>
    <x v="175"/>
    <x v="213"/>
    <x v="2"/>
    <x v="0"/>
    <n v="50"/>
    <x v="2"/>
    <s v="Confirmed"/>
    <n v="4"/>
    <x v="0"/>
    <x v="1"/>
    <n v="4"/>
    <n v="0"/>
    <n v="29996"/>
    <n v="4"/>
    <n v="14998"/>
  </r>
  <r>
    <x v="1"/>
    <x v="1"/>
    <x v="65"/>
    <x v="214"/>
    <x v="1"/>
    <x v="0"/>
    <n v="50"/>
    <x v="2"/>
    <s v="Confirmed"/>
    <n v="24"/>
    <x v="0"/>
    <x v="4"/>
    <n v="2"/>
    <n v="0"/>
    <n v="42732"/>
    <n v="4"/>
    <n v="21366"/>
  </r>
  <r>
    <x v="3"/>
    <x v="0"/>
    <x v="176"/>
    <x v="215"/>
    <x v="2"/>
    <x v="0"/>
    <n v="50"/>
    <x v="1"/>
    <s v="Confirmed"/>
    <n v="6"/>
    <x v="0"/>
    <x v="4"/>
    <n v="2"/>
    <n v="10"/>
    <n v="9871.2000000000007"/>
    <n v="2"/>
    <n v="10968"/>
  </r>
  <r>
    <x v="2"/>
    <x v="1"/>
    <x v="168"/>
    <x v="216"/>
    <x v="0"/>
    <x v="2"/>
    <n v="50"/>
    <x v="0"/>
    <s v="Confirmed"/>
    <n v="15"/>
    <x v="1"/>
    <x v="4"/>
    <n v="3"/>
    <n v="5"/>
    <n v="24810.2"/>
    <n v="8"/>
    <n v="6529"/>
  </r>
  <r>
    <x v="5"/>
    <x v="2"/>
    <x v="138"/>
    <x v="217"/>
    <x v="0"/>
    <x v="0"/>
    <n v="50"/>
    <x v="4"/>
    <s v="Confirmed"/>
    <n v="17"/>
    <x v="1"/>
    <x v="3"/>
    <n v="4"/>
    <n v="5"/>
    <n v="100505.25"/>
    <n v="6"/>
    <n v="35265"/>
  </r>
  <r>
    <x v="3"/>
    <x v="2"/>
    <x v="76"/>
    <x v="218"/>
    <x v="0"/>
    <x v="1"/>
    <n v="50"/>
    <x v="4"/>
    <s v="Confirmed"/>
    <n v="5"/>
    <x v="1"/>
    <x v="1"/>
    <n v="5"/>
    <n v="5"/>
    <n v="51394.05"/>
    <n v="6"/>
    <n v="18033"/>
  </r>
  <r>
    <x v="4"/>
    <x v="1"/>
    <x v="177"/>
    <x v="14"/>
    <x v="1"/>
    <x v="1"/>
    <n v="50"/>
    <x v="1"/>
    <s v="Cancelled"/>
    <n v="7"/>
    <x v="0"/>
    <x v="2"/>
    <n v="2"/>
    <n v="0"/>
    <n v="0"/>
    <n v="2"/>
    <n v="0"/>
  </r>
  <r>
    <x v="3"/>
    <x v="0"/>
    <x v="178"/>
    <x v="219"/>
    <x v="3"/>
    <x v="0"/>
    <n v="50"/>
    <x v="0"/>
    <s v="Confirmed"/>
    <n v="20"/>
    <x v="1"/>
    <x v="0"/>
    <n v="1"/>
    <n v="10"/>
    <n v="88776"/>
    <n v="8"/>
    <n v="24660"/>
  </r>
  <r>
    <x v="2"/>
    <x v="1"/>
    <x v="179"/>
    <x v="14"/>
    <x v="1"/>
    <x v="1"/>
    <n v="50"/>
    <x v="3"/>
    <s v="Cancelled"/>
    <n v="21"/>
    <x v="0"/>
    <x v="4"/>
    <n v="5"/>
    <n v="0"/>
    <n v="0"/>
    <n v="10"/>
    <n v="0"/>
  </r>
  <r>
    <x v="0"/>
    <x v="2"/>
    <x v="20"/>
    <x v="220"/>
    <x v="3"/>
    <x v="1"/>
    <n v="50"/>
    <x v="2"/>
    <s v="Confirmed"/>
    <n v="26"/>
    <x v="0"/>
    <x v="0"/>
    <n v="3"/>
    <n v="0"/>
    <n v="69804"/>
    <n v="4"/>
    <n v="34902"/>
  </r>
  <r>
    <x v="1"/>
    <x v="1"/>
    <x v="180"/>
    <x v="221"/>
    <x v="1"/>
    <x v="0"/>
    <n v="50"/>
    <x v="1"/>
    <s v="Confirmed"/>
    <n v="30"/>
    <x v="0"/>
    <x v="2"/>
    <n v="5"/>
    <n v="0"/>
    <n v="28232"/>
    <n v="2"/>
    <n v="28232"/>
  </r>
  <r>
    <x v="3"/>
    <x v="2"/>
    <x v="39"/>
    <x v="222"/>
    <x v="2"/>
    <x v="1"/>
    <n v="50"/>
    <x v="0"/>
    <s v="Confirmed"/>
    <n v="27"/>
    <x v="0"/>
    <x v="0"/>
    <n v="4"/>
    <n v="10"/>
    <n v="16682.400000000001"/>
    <n v="8"/>
    <n v="4634"/>
  </r>
  <r>
    <x v="2"/>
    <x v="1"/>
    <x v="181"/>
    <x v="223"/>
    <x v="1"/>
    <x v="1"/>
    <n v="50"/>
    <x v="0"/>
    <s v="Confirmed"/>
    <n v="4"/>
    <x v="1"/>
    <x v="1"/>
    <n v="3"/>
    <n v="10"/>
    <n v="121878"/>
    <n v="8"/>
    <n v="33855"/>
  </r>
  <r>
    <x v="0"/>
    <x v="1"/>
    <x v="182"/>
    <x v="224"/>
    <x v="2"/>
    <x v="0"/>
    <n v="50"/>
    <x v="0"/>
    <s v="Confirmed"/>
    <n v="16"/>
    <x v="1"/>
    <x v="3"/>
    <n v="1"/>
    <n v="15"/>
    <n v="114178.8"/>
    <n v="8"/>
    <n v="33582"/>
  </r>
  <r>
    <x v="3"/>
    <x v="0"/>
    <x v="183"/>
    <x v="225"/>
    <x v="0"/>
    <x v="1"/>
    <n v="50"/>
    <x v="1"/>
    <s v="Confirmed"/>
    <n v="5"/>
    <x v="1"/>
    <x v="1"/>
    <n v="1"/>
    <n v="15"/>
    <n v="16743.3"/>
    <n v="2"/>
    <n v="19698"/>
  </r>
  <r>
    <x v="3"/>
    <x v="1"/>
    <x v="86"/>
    <x v="226"/>
    <x v="0"/>
    <x v="2"/>
    <n v="50"/>
    <x v="3"/>
    <s v="Confirmed"/>
    <n v="3"/>
    <x v="1"/>
    <x v="2"/>
    <n v="2"/>
    <n v="5"/>
    <n v="61194.25"/>
    <n v="10"/>
    <n v="12883"/>
  </r>
  <r>
    <x v="5"/>
    <x v="0"/>
    <x v="184"/>
    <x v="227"/>
    <x v="0"/>
    <x v="0"/>
    <n v="50"/>
    <x v="1"/>
    <s v="Confirmed"/>
    <n v="28"/>
    <x v="0"/>
    <x v="1"/>
    <n v="4"/>
    <n v="0"/>
    <n v="15256"/>
    <n v="2"/>
    <n v="15256"/>
  </r>
  <r>
    <x v="1"/>
    <x v="0"/>
    <x v="185"/>
    <x v="228"/>
    <x v="3"/>
    <x v="0"/>
    <n v="50"/>
    <x v="2"/>
    <s v="Confirmed"/>
    <n v="6"/>
    <x v="0"/>
    <x v="4"/>
    <n v="1"/>
    <n v="0"/>
    <n v="87096"/>
    <n v="4"/>
    <n v="43548"/>
  </r>
  <r>
    <x v="1"/>
    <x v="1"/>
    <x v="65"/>
    <x v="229"/>
    <x v="1"/>
    <x v="0"/>
    <n v="50"/>
    <x v="0"/>
    <s v="Confirmed"/>
    <n v="13"/>
    <x v="1"/>
    <x v="2"/>
    <n v="1"/>
    <n v="5"/>
    <n v="55153.2"/>
    <n v="8"/>
    <n v="14514"/>
  </r>
  <r>
    <x v="0"/>
    <x v="2"/>
    <x v="186"/>
    <x v="230"/>
    <x v="3"/>
    <x v="0"/>
    <n v="50"/>
    <x v="3"/>
    <s v="Confirmed"/>
    <n v="28"/>
    <x v="1"/>
    <x v="0"/>
    <n v="4"/>
    <n v="0"/>
    <n v="20040"/>
    <n v="10"/>
    <n v="4008"/>
  </r>
  <r>
    <x v="2"/>
    <x v="2"/>
    <x v="187"/>
    <x v="231"/>
    <x v="3"/>
    <x v="0"/>
    <n v="50"/>
    <x v="4"/>
    <s v="Confirmed"/>
    <n v="3"/>
    <x v="1"/>
    <x v="1"/>
    <n v="1"/>
    <n v="5"/>
    <n v="82806.75"/>
    <n v="6"/>
    <n v="29055"/>
  </r>
  <r>
    <x v="0"/>
    <x v="2"/>
    <x v="188"/>
    <x v="232"/>
    <x v="0"/>
    <x v="2"/>
    <n v="50"/>
    <x v="3"/>
    <s v="Confirmed"/>
    <n v="14"/>
    <x v="1"/>
    <x v="3"/>
    <n v="1"/>
    <n v="0"/>
    <n v="148210"/>
    <n v="10"/>
    <n v="29642"/>
  </r>
  <r>
    <x v="3"/>
    <x v="0"/>
    <x v="189"/>
    <x v="233"/>
    <x v="0"/>
    <x v="1"/>
    <n v="50"/>
    <x v="3"/>
    <s v="Confirmed"/>
    <n v="30"/>
    <x v="1"/>
    <x v="4"/>
    <n v="1"/>
    <n v="10"/>
    <n v="78327"/>
    <n v="10"/>
    <n v="17406"/>
  </r>
  <r>
    <x v="2"/>
    <x v="0"/>
    <x v="77"/>
    <x v="14"/>
    <x v="3"/>
    <x v="0"/>
    <n v="50"/>
    <x v="3"/>
    <s v="Cancelled"/>
    <n v="4"/>
    <x v="1"/>
    <x v="3"/>
    <n v="3"/>
    <n v="5"/>
    <n v="0"/>
    <n v="10"/>
    <n v="0"/>
  </r>
  <r>
    <x v="0"/>
    <x v="0"/>
    <x v="175"/>
    <x v="234"/>
    <x v="3"/>
    <x v="0"/>
    <n v="50"/>
    <x v="2"/>
    <s v="Confirmed"/>
    <n v="18"/>
    <x v="1"/>
    <x v="4"/>
    <n v="3"/>
    <n v="5"/>
    <n v="110952.4"/>
    <n v="4"/>
    <n v="58396"/>
  </r>
  <r>
    <x v="0"/>
    <x v="0"/>
    <x v="124"/>
    <x v="14"/>
    <x v="0"/>
    <x v="1"/>
    <n v="50"/>
    <x v="3"/>
    <s v="Cancelled"/>
    <n v="11"/>
    <x v="0"/>
    <x v="2"/>
    <n v="5"/>
    <n v="5"/>
    <n v="0"/>
    <n v="10"/>
    <n v="0"/>
  </r>
  <r>
    <x v="1"/>
    <x v="2"/>
    <x v="190"/>
    <x v="14"/>
    <x v="1"/>
    <x v="2"/>
    <n v="50"/>
    <x v="2"/>
    <s v="Cancelled"/>
    <n v="14"/>
    <x v="0"/>
    <x v="3"/>
    <n v="2"/>
    <n v="15"/>
    <n v="0"/>
    <n v="4"/>
    <n v="0"/>
  </r>
  <r>
    <x v="4"/>
    <x v="2"/>
    <x v="11"/>
    <x v="235"/>
    <x v="0"/>
    <x v="0"/>
    <n v="50"/>
    <x v="2"/>
    <s v="Confirmed"/>
    <n v="26"/>
    <x v="0"/>
    <x v="2"/>
    <n v="3"/>
    <n v="5"/>
    <n v="45810.9"/>
    <n v="4"/>
    <n v="24111"/>
  </r>
  <r>
    <x v="3"/>
    <x v="2"/>
    <x v="39"/>
    <x v="236"/>
    <x v="2"/>
    <x v="1"/>
    <n v="50"/>
    <x v="4"/>
    <s v="Confirmed"/>
    <n v="20"/>
    <x v="1"/>
    <x v="3"/>
    <n v="2"/>
    <n v="10"/>
    <n v="61290"/>
    <n v="6"/>
    <n v="22700"/>
  </r>
  <r>
    <x v="4"/>
    <x v="1"/>
    <x v="177"/>
    <x v="237"/>
    <x v="0"/>
    <x v="1"/>
    <n v="50"/>
    <x v="2"/>
    <s v="Confirmed"/>
    <n v="29"/>
    <x v="1"/>
    <x v="3"/>
    <n v="2"/>
    <n v="15"/>
    <n v="29641.200000000001"/>
    <n v="4"/>
    <n v="17436"/>
  </r>
  <r>
    <x v="2"/>
    <x v="1"/>
    <x v="191"/>
    <x v="238"/>
    <x v="3"/>
    <x v="2"/>
    <n v="50"/>
    <x v="4"/>
    <s v="Confirmed"/>
    <n v="20"/>
    <x v="1"/>
    <x v="1"/>
    <n v="5"/>
    <n v="15"/>
    <n v="133405.79999999999"/>
    <n v="6"/>
    <n v="52316"/>
  </r>
  <r>
    <x v="0"/>
    <x v="0"/>
    <x v="178"/>
    <x v="239"/>
    <x v="1"/>
    <x v="0"/>
    <n v="50"/>
    <x v="3"/>
    <s v="Confirmed"/>
    <n v="1"/>
    <x v="1"/>
    <x v="0"/>
    <n v="3"/>
    <n v="15"/>
    <n v="59240.75"/>
    <n v="10"/>
    <n v="13939"/>
  </r>
  <r>
    <x v="2"/>
    <x v="0"/>
    <x v="116"/>
    <x v="14"/>
    <x v="3"/>
    <x v="0"/>
    <n v="50"/>
    <x v="0"/>
    <s v="Cancelled"/>
    <n v="7"/>
    <x v="0"/>
    <x v="3"/>
    <n v="3"/>
    <n v="5"/>
    <n v="0"/>
    <n v="8"/>
    <n v="0"/>
  </r>
  <r>
    <x v="3"/>
    <x v="1"/>
    <x v="192"/>
    <x v="240"/>
    <x v="1"/>
    <x v="0"/>
    <n v="50"/>
    <x v="3"/>
    <s v="Confirmed"/>
    <n v="3"/>
    <x v="1"/>
    <x v="3"/>
    <n v="1"/>
    <n v="5"/>
    <n v="140495.5"/>
    <n v="10"/>
    <n v="29578"/>
  </r>
  <r>
    <x v="2"/>
    <x v="1"/>
    <x v="150"/>
    <x v="241"/>
    <x v="2"/>
    <x v="0"/>
    <n v="50"/>
    <x v="0"/>
    <s v="Confirmed"/>
    <n v="21"/>
    <x v="0"/>
    <x v="3"/>
    <n v="3"/>
    <n v="15"/>
    <n v="30906"/>
    <n v="8"/>
    <n v="9090"/>
  </r>
  <r>
    <x v="5"/>
    <x v="2"/>
    <x v="193"/>
    <x v="242"/>
    <x v="1"/>
    <x v="0"/>
    <n v="50"/>
    <x v="0"/>
    <s v="Confirmed"/>
    <n v="29"/>
    <x v="1"/>
    <x v="4"/>
    <n v="2"/>
    <n v="15"/>
    <n v="80498.399999999994"/>
    <n v="8"/>
    <n v="23676"/>
  </r>
  <r>
    <x v="1"/>
    <x v="2"/>
    <x v="98"/>
    <x v="14"/>
    <x v="3"/>
    <x v="2"/>
    <n v="50"/>
    <x v="2"/>
    <s v="Cancelled"/>
    <n v="2"/>
    <x v="0"/>
    <x v="3"/>
    <n v="4"/>
    <n v="0"/>
    <n v="0"/>
    <n v="4"/>
    <n v="0"/>
  </r>
  <r>
    <x v="1"/>
    <x v="0"/>
    <x v="51"/>
    <x v="243"/>
    <x v="3"/>
    <x v="0"/>
    <n v="50"/>
    <x v="3"/>
    <s v="Confirmed"/>
    <n v="17"/>
    <x v="0"/>
    <x v="2"/>
    <n v="2"/>
    <n v="5"/>
    <n v="84094"/>
    <n v="10"/>
    <n v="17704"/>
  </r>
  <r>
    <x v="5"/>
    <x v="2"/>
    <x v="106"/>
    <x v="244"/>
    <x v="3"/>
    <x v="1"/>
    <n v="50"/>
    <x v="3"/>
    <s v="Confirmed"/>
    <n v="5"/>
    <x v="1"/>
    <x v="3"/>
    <n v="3"/>
    <n v="15"/>
    <n v="90933"/>
    <n v="10"/>
    <n v="21396"/>
  </r>
  <r>
    <x v="5"/>
    <x v="2"/>
    <x v="194"/>
    <x v="14"/>
    <x v="3"/>
    <x v="1"/>
    <n v="50"/>
    <x v="0"/>
    <s v="Cancelled"/>
    <n v="6"/>
    <x v="1"/>
    <x v="2"/>
    <n v="2"/>
    <n v="15"/>
    <n v="0"/>
    <n v="8"/>
    <n v="0"/>
  </r>
  <r>
    <x v="3"/>
    <x v="1"/>
    <x v="195"/>
    <x v="245"/>
    <x v="0"/>
    <x v="0"/>
    <n v="50"/>
    <x v="0"/>
    <s v="Confirmed"/>
    <n v="30"/>
    <x v="1"/>
    <x v="2"/>
    <n v="1"/>
    <n v="0"/>
    <n v="53316"/>
    <n v="8"/>
    <n v="13329"/>
  </r>
  <r>
    <x v="0"/>
    <x v="1"/>
    <x v="12"/>
    <x v="246"/>
    <x v="1"/>
    <x v="0"/>
    <n v="50"/>
    <x v="4"/>
    <s v="Confirmed"/>
    <n v="5"/>
    <x v="1"/>
    <x v="4"/>
    <n v="5"/>
    <n v="0"/>
    <n v="130527"/>
    <n v="6"/>
    <n v="43509"/>
  </r>
  <r>
    <x v="1"/>
    <x v="1"/>
    <x v="196"/>
    <x v="247"/>
    <x v="2"/>
    <x v="1"/>
    <n v="50"/>
    <x v="0"/>
    <s v="Confirmed"/>
    <n v="15"/>
    <x v="1"/>
    <x v="3"/>
    <n v="5"/>
    <n v="5"/>
    <n v="142211.20000000001"/>
    <n v="8"/>
    <n v="37424"/>
  </r>
  <r>
    <x v="5"/>
    <x v="2"/>
    <x v="155"/>
    <x v="248"/>
    <x v="0"/>
    <x v="0"/>
    <n v="50"/>
    <x v="1"/>
    <s v="Confirmed"/>
    <n v="17"/>
    <x v="0"/>
    <x v="2"/>
    <n v="5"/>
    <n v="5"/>
    <n v="9552.25"/>
    <n v="2"/>
    <n v="10055"/>
  </r>
  <r>
    <x v="4"/>
    <x v="1"/>
    <x v="171"/>
    <x v="249"/>
    <x v="0"/>
    <x v="1"/>
    <n v="50"/>
    <x v="2"/>
    <s v="Confirmed"/>
    <n v="9"/>
    <x v="1"/>
    <x v="3"/>
    <n v="1"/>
    <n v="15"/>
    <n v="69196.800000000003"/>
    <n v="4"/>
    <n v="40704"/>
  </r>
  <r>
    <x v="2"/>
    <x v="2"/>
    <x v="137"/>
    <x v="250"/>
    <x v="0"/>
    <x v="2"/>
    <n v="50"/>
    <x v="4"/>
    <s v="Confirmed"/>
    <n v="11"/>
    <x v="1"/>
    <x v="1"/>
    <n v="1"/>
    <n v="15"/>
    <n v="140454"/>
    <n v="6"/>
    <n v="55080"/>
  </r>
  <r>
    <x v="2"/>
    <x v="0"/>
    <x v="197"/>
    <x v="251"/>
    <x v="1"/>
    <x v="1"/>
    <n v="50"/>
    <x v="2"/>
    <s v="Confirmed"/>
    <n v="3"/>
    <x v="1"/>
    <x v="1"/>
    <n v="5"/>
    <n v="5"/>
    <n v="68118.8"/>
    <n v="4"/>
    <n v="35852"/>
  </r>
  <r>
    <x v="2"/>
    <x v="0"/>
    <x v="198"/>
    <x v="14"/>
    <x v="0"/>
    <x v="0"/>
    <n v="50"/>
    <x v="0"/>
    <s v="Cancelled"/>
    <n v="21"/>
    <x v="1"/>
    <x v="1"/>
    <n v="2"/>
    <n v="5"/>
    <n v="0"/>
    <n v="8"/>
    <n v="0"/>
  </r>
  <r>
    <x v="3"/>
    <x v="0"/>
    <x v="18"/>
    <x v="252"/>
    <x v="1"/>
    <x v="0"/>
    <n v="50"/>
    <x v="3"/>
    <s v="Confirmed"/>
    <n v="30"/>
    <x v="1"/>
    <x v="1"/>
    <n v="1"/>
    <n v="0"/>
    <n v="196890"/>
    <n v="10"/>
    <n v="39378"/>
  </r>
  <r>
    <x v="2"/>
    <x v="1"/>
    <x v="199"/>
    <x v="253"/>
    <x v="2"/>
    <x v="1"/>
    <n v="50"/>
    <x v="1"/>
    <s v="Confirmed"/>
    <n v="27"/>
    <x v="0"/>
    <x v="1"/>
    <n v="5"/>
    <n v="0"/>
    <n v="33028"/>
    <n v="2"/>
    <n v="33028"/>
  </r>
  <r>
    <x v="4"/>
    <x v="1"/>
    <x v="91"/>
    <x v="254"/>
    <x v="3"/>
    <x v="2"/>
    <n v="50"/>
    <x v="3"/>
    <s v="Confirmed"/>
    <n v="15"/>
    <x v="0"/>
    <x v="0"/>
    <n v="5"/>
    <n v="15"/>
    <n v="99841"/>
    <n v="10"/>
    <n v="23492"/>
  </r>
  <r>
    <x v="5"/>
    <x v="0"/>
    <x v="200"/>
    <x v="255"/>
    <x v="0"/>
    <x v="2"/>
    <n v="50"/>
    <x v="1"/>
    <s v="Confirmed"/>
    <n v="4"/>
    <x v="1"/>
    <x v="1"/>
    <n v="5"/>
    <n v="10"/>
    <n v="21463.200000000001"/>
    <n v="2"/>
    <n v="23848"/>
  </r>
  <r>
    <x v="5"/>
    <x v="2"/>
    <x v="160"/>
    <x v="256"/>
    <x v="2"/>
    <x v="1"/>
    <n v="50"/>
    <x v="3"/>
    <s v="Confirmed"/>
    <n v="29"/>
    <x v="1"/>
    <x v="2"/>
    <n v="5"/>
    <n v="10"/>
    <n v="185742"/>
    <n v="10"/>
    <n v="41276"/>
  </r>
  <r>
    <x v="4"/>
    <x v="1"/>
    <x v="201"/>
    <x v="14"/>
    <x v="0"/>
    <x v="1"/>
    <n v="50"/>
    <x v="0"/>
    <s v="Cancelled"/>
    <n v="23"/>
    <x v="1"/>
    <x v="0"/>
    <n v="4"/>
    <n v="15"/>
    <n v="0"/>
    <n v="8"/>
    <n v="0"/>
  </r>
  <r>
    <x v="3"/>
    <x v="1"/>
    <x v="202"/>
    <x v="257"/>
    <x v="1"/>
    <x v="2"/>
    <n v="50"/>
    <x v="4"/>
    <s v="Confirmed"/>
    <n v="30"/>
    <x v="0"/>
    <x v="1"/>
    <n v="2"/>
    <n v="5"/>
    <n v="16538.55"/>
    <n v="6"/>
    <n v="5803"/>
  </r>
  <r>
    <x v="5"/>
    <x v="0"/>
    <x v="17"/>
    <x v="258"/>
    <x v="3"/>
    <x v="0"/>
    <n v="50"/>
    <x v="1"/>
    <s v="Confirmed"/>
    <n v="1"/>
    <x v="0"/>
    <x v="4"/>
    <n v="5"/>
    <n v="10"/>
    <n v="22440.6"/>
    <n v="2"/>
    <n v="24934"/>
  </r>
  <r>
    <x v="4"/>
    <x v="1"/>
    <x v="29"/>
    <x v="259"/>
    <x v="0"/>
    <x v="2"/>
    <n v="50"/>
    <x v="2"/>
    <s v="Confirmed"/>
    <n v="1"/>
    <x v="1"/>
    <x v="4"/>
    <n v="2"/>
    <n v="5"/>
    <n v="95691.6"/>
    <n v="4"/>
    <n v="50364"/>
  </r>
  <r>
    <x v="5"/>
    <x v="0"/>
    <x v="96"/>
    <x v="260"/>
    <x v="1"/>
    <x v="1"/>
    <n v="50"/>
    <x v="4"/>
    <s v="Confirmed"/>
    <n v="23"/>
    <x v="0"/>
    <x v="2"/>
    <n v="5"/>
    <n v="15"/>
    <n v="29449.95"/>
    <n v="6"/>
    <n v="11549"/>
  </r>
  <r>
    <x v="4"/>
    <x v="1"/>
    <x v="174"/>
    <x v="261"/>
    <x v="1"/>
    <x v="0"/>
    <n v="50"/>
    <x v="4"/>
    <s v="Confirmed"/>
    <n v="26"/>
    <x v="0"/>
    <x v="3"/>
    <n v="1"/>
    <n v="5"/>
    <n v="12400.35"/>
    <n v="6"/>
    <n v="4351"/>
  </r>
  <r>
    <x v="5"/>
    <x v="0"/>
    <x v="118"/>
    <x v="262"/>
    <x v="0"/>
    <x v="0"/>
    <n v="50"/>
    <x v="4"/>
    <s v="Confirmed"/>
    <n v="5"/>
    <x v="0"/>
    <x v="3"/>
    <n v="3"/>
    <n v="0"/>
    <n v="36870"/>
    <n v="6"/>
    <n v="12290"/>
  </r>
  <r>
    <x v="0"/>
    <x v="2"/>
    <x v="148"/>
    <x v="263"/>
    <x v="3"/>
    <x v="0"/>
    <n v="50"/>
    <x v="1"/>
    <s v="Confirmed"/>
    <n v="15"/>
    <x v="0"/>
    <x v="2"/>
    <n v="4"/>
    <n v="10"/>
    <n v="23130"/>
    <n v="2"/>
    <n v="25700"/>
  </r>
  <r>
    <x v="2"/>
    <x v="1"/>
    <x v="203"/>
    <x v="264"/>
    <x v="2"/>
    <x v="0"/>
    <n v="50"/>
    <x v="3"/>
    <s v="Confirmed"/>
    <n v="22"/>
    <x v="0"/>
    <x v="3"/>
    <n v="4"/>
    <n v="10"/>
    <n v="51493.5"/>
    <n v="10"/>
    <n v="11443"/>
  </r>
  <r>
    <x v="5"/>
    <x v="1"/>
    <x v="204"/>
    <x v="265"/>
    <x v="3"/>
    <x v="1"/>
    <n v="50"/>
    <x v="4"/>
    <s v="Confirmed"/>
    <n v="29"/>
    <x v="0"/>
    <x v="2"/>
    <n v="4"/>
    <n v="10"/>
    <n v="15138.9"/>
    <n v="6"/>
    <n v="5607"/>
  </r>
  <r>
    <x v="0"/>
    <x v="0"/>
    <x v="130"/>
    <x v="266"/>
    <x v="1"/>
    <x v="0"/>
    <n v="50"/>
    <x v="0"/>
    <s v="Confirmed"/>
    <n v="12"/>
    <x v="1"/>
    <x v="1"/>
    <n v="3"/>
    <n v="10"/>
    <n v="102175.2"/>
    <n v="8"/>
    <n v="28382"/>
  </r>
  <r>
    <x v="1"/>
    <x v="2"/>
    <x v="166"/>
    <x v="267"/>
    <x v="2"/>
    <x v="0"/>
    <n v="50"/>
    <x v="3"/>
    <s v="Confirmed"/>
    <n v="24"/>
    <x v="1"/>
    <x v="0"/>
    <n v="1"/>
    <n v="15"/>
    <n v="78884.25"/>
    <n v="10"/>
    <n v="18561"/>
  </r>
  <r>
    <x v="3"/>
    <x v="2"/>
    <x v="205"/>
    <x v="268"/>
    <x v="3"/>
    <x v="0"/>
    <n v="50"/>
    <x v="1"/>
    <s v="Confirmed"/>
    <n v="14"/>
    <x v="1"/>
    <x v="3"/>
    <n v="2"/>
    <n v="0"/>
    <n v="10406"/>
    <n v="2"/>
    <n v="10406"/>
  </r>
  <r>
    <x v="3"/>
    <x v="2"/>
    <x v="56"/>
    <x v="269"/>
    <x v="1"/>
    <x v="2"/>
    <n v="50"/>
    <x v="0"/>
    <s v="Confirmed"/>
    <n v="17"/>
    <x v="0"/>
    <x v="4"/>
    <n v="1"/>
    <n v="5"/>
    <n v="38889.199999999997"/>
    <n v="8"/>
    <n v="10234"/>
  </r>
  <r>
    <x v="5"/>
    <x v="2"/>
    <x v="206"/>
    <x v="270"/>
    <x v="0"/>
    <x v="0"/>
    <n v="50"/>
    <x v="2"/>
    <s v="Confirmed"/>
    <n v="20"/>
    <x v="0"/>
    <x v="4"/>
    <n v="3"/>
    <n v="15"/>
    <n v="42969.2"/>
    <n v="4"/>
    <n v="25276"/>
  </r>
  <r>
    <x v="4"/>
    <x v="2"/>
    <x v="1"/>
    <x v="14"/>
    <x v="2"/>
    <x v="0"/>
    <n v="50"/>
    <x v="4"/>
    <s v="Cancelled"/>
    <n v="22"/>
    <x v="0"/>
    <x v="3"/>
    <n v="2"/>
    <n v="15"/>
    <n v="0"/>
    <n v="6"/>
    <n v="0"/>
  </r>
  <r>
    <x v="3"/>
    <x v="2"/>
    <x v="207"/>
    <x v="271"/>
    <x v="0"/>
    <x v="1"/>
    <n v="50"/>
    <x v="1"/>
    <s v="Confirmed"/>
    <n v="15"/>
    <x v="1"/>
    <x v="2"/>
    <n v="3"/>
    <n v="5"/>
    <n v="55806.8"/>
    <n v="2"/>
    <n v="58744"/>
  </r>
  <r>
    <x v="1"/>
    <x v="2"/>
    <x v="17"/>
    <x v="272"/>
    <x v="3"/>
    <x v="0"/>
    <n v="50"/>
    <x v="4"/>
    <s v="Confirmed"/>
    <n v="14"/>
    <x v="0"/>
    <x v="2"/>
    <n v="3"/>
    <n v="5"/>
    <n v="45725.4"/>
    <n v="6"/>
    <n v="16044"/>
  </r>
  <r>
    <x v="3"/>
    <x v="0"/>
    <x v="63"/>
    <x v="273"/>
    <x v="3"/>
    <x v="1"/>
    <n v="50"/>
    <x v="4"/>
    <s v="Confirmed"/>
    <n v="10"/>
    <x v="1"/>
    <x v="0"/>
    <n v="4"/>
    <n v="0"/>
    <n v="43668"/>
    <n v="6"/>
    <n v="14556"/>
  </r>
  <r>
    <x v="2"/>
    <x v="0"/>
    <x v="78"/>
    <x v="274"/>
    <x v="1"/>
    <x v="0"/>
    <n v="50"/>
    <x v="3"/>
    <s v="Confirmed"/>
    <n v="26"/>
    <x v="1"/>
    <x v="0"/>
    <n v="5"/>
    <n v="0"/>
    <n v="38715"/>
    <n v="10"/>
    <n v="7743"/>
  </r>
  <r>
    <x v="2"/>
    <x v="1"/>
    <x v="208"/>
    <x v="275"/>
    <x v="3"/>
    <x v="1"/>
    <n v="50"/>
    <x v="3"/>
    <s v="Confirmed"/>
    <n v="27"/>
    <x v="1"/>
    <x v="0"/>
    <n v="4"/>
    <n v="10"/>
    <n v="152676"/>
    <n v="10"/>
    <n v="33928"/>
  </r>
  <r>
    <x v="2"/>
    <x v="2"/>
    <x v="209"/>
    <x v="276"/>
    <x v="3"/>
    <x v="2"/>
    <n v="50"/>
    <x v="2"/>
    <s v="Confirmed"/>
    <n v="21"/>
    <x v="0"/>
    <x v="3"/>
    <n v="1"/>
    <n v="5"/>
    <n v="25684.2"/>
    <n v="4"/>
    <n v="13518"/>
  </r>
  <r>
    <x v="1"/>
    <x v="1"/>
    <x v="11"/>
    <x v="277"/>
    <x v="3"/>
    <x v="0"/>
    <n v="50"/>
    <x v="4"/>
    <s v="Confirmed"/>
    <n v="6"/>
    <x v="1"/>
    <x v="3"/>
    <n v="1"/>
    <n v="15"/>
    <n v="33621.75"/>
    <n v="6"/>
    <n v="13185"/>
  </r>
  <r>
    <x v="4"/>
    <x v="2"/>
    <x v="47"/>
    <x v="278"/>
    <x v="1"/>
    <x v="2"/>
    <n v="50"/>
    <x v="1"/>
    <s v="Confirmed"/>
    <n v="6"/>
    <x v="1"/>
    <x v="3"/>
    <n v="2"/>
    <n v="5"/>
    <n v="25625.3"/>
    <n v="2"/>
    <n v="26974"/>
  </r>
  <r>
    <x v="1"/>
    <x v="0"/>
    <x v="100"/>
    <x v="14"/>
    <x v="0"/>
    <x v="0"/>
    <n v="50"/>
    <x v="4"/>
    <s v="Cancelled"/>
    <n v="3"/>
    <x v="0"/>
    <x v="4"/>
    <n v="1"/>
    <n v="10"/>
    <n v="0"/>
    <n v="6"/>
    <n v="0"/>
  </r>
  <r>
    <x v="2"/>
    <x v="0"/>
    <x v="210"/>
    <x v="279"/>
    <x v="2"/>
    <x v="0"/>
    <n v="50"/>
    <x v="0"/>
    <s v="Confirmed"/>
    <n v="10"/>
    <x v="1"/>
    <x v="3"/>
    <n v="3"/>
    <n v="0"/>
    <n v="86496"/>
    <n v="8"/>
    <n v="21624"/>
  </r>
  <r>
    <x v="0"/>
    <x v="0"/>
    <x v="74"/>
    <x v="280"/>
    <x v="0"/>
    <x v="0"/>
    <n v="50"/>
    <x v="2"/>
    <s v="Confirmed"/>
    <n v="4"/>
    <x v="1"/>
    <x v="3"/>
    <n v="3"/>
    <n v="0"/>
    <n v="103216"/>
    <n v="4"/>
    <n v="51608"/>
  </r>
  <r>
    <x v="1"/>
    <x v="1"/>
    <x v="102"/>
    <x v="14"/>
    <x v="3"/>
    <x v="1"/>
    <n v="50"/>
    <x v="0"/>
    <s v="Cancelled"/>
    <n v="8"/>
    <x v="1"/>
    <x v="0"/>
    <n v="4"/>
    <n v="0"/>
    <n v="0"/>
    <n v="8"/>
    <n v="0"/>
  </r>
  <r>
    <x v="2"/>
    <x v="1"/>
    <x v="28"/>
    <x v="281"/>
    <x v="2"/>
    <x v="1"/>
    <n v="50"/>
    <x v="4"/>
    <s v="Confirmed"/>
    <n v="8"/>
    <x v="1"/>
    <x v="2"/>
    <n v="1"/>
    <n v="0"/>
    <n v="57276"/>
    <n v="6"/>
    <n v="19092"/>
  </r>
  <r>
    <x v="3"/>
    <x v="0"/>
    <x v="105"/>
    <x v="282"/>
    <x v="2"/>
    <x v="1"/>
    <n v="50"/>
    <x v="0"/>
    <s v="Confirmed"/>
    <n v="1"/>
    <x v="0"/>
    <x v="4"/>
    <n v="1"/>
    <n v="0"/>
    <n v="85584"/>
    <n v="8"/>
    <n v="21396"/>
  </r>
  <r>
    <x v="2"/>
    <x v="1"/>
    <x v="211"/>
    <x v="283"/>
    <x v="3"/>
    <x v="2"/>
    <n v="50"/>
    <x v="0"/>
    <s v="Confirmed"/>
    <n v="23"/>
    <x v="1"/>
    <x v="2"/>
    <n v="1"/>
    <n v="15"/>
    <n v="111078"/>
    <n v="8"/>
    <n v="32670"/>
  </r>
  <r>
    <x v="5"/>
    <x v="1"/>
    <x v="212"/>
    <x v="284"/>
    <x v="0"/>
    <x v="2"/>
    <n v="50"/>
    <x v="2"/>
    <s v="Confirmed"/>
    <n v="14"/>
    <x v="0"/>
    <x v="3"/>
    <n v="1"/>
    <n v="5"/>
    <n v="48628.6"/>
    <n v="4"/>
    <n v="25594"/>
  </r>
  <r>
    <x v="1"/>
    <x v="2"/>
    <x v="177"/>
    <x v="285"/>
    <x v="3"/>
    <x v="1"/>
    <n v="50"/>
    <x v="0"/>
    <s v="Confirmed"/>
    <n v="20"/>
    <x v="1"/>
    <x v="0"/>
    <n v="2"/>
    <n v="0"/>
    <n v="83360"/>
    <n v="8"/>
    <n v="20840"/>
  </r>
  <r>
    <x v="2"/>
    <x v="0"/>
    <x v="213"/>
    <x v="286"/>
    <x v="1"/>
    <x v="2"/>
    <n v="50"/>
    <x v="4"/>
    <s v="Confirmed"/>
    <n v="30"/>
    <x v="1"/>
    <x v="0"/>
    <n v="3"/>
    <n v="0"/>
    <n v="98112"/>
    <n v="6"/>
    <n v="32704"/>
  </r>
  <r>
    <x v="1"/>
    <x v="0"/>
    <x v="114"/>
    <x v="287"/>
    <x v="3"/>
    <x v="0"/>
    <n v="50"/>
    <x v="0"/>
    <s v="Confirmed"/>
    <n v="2"/>
    <x v="0"/>
    <x v="2"/>
    <n v="3"/>
    <n v="0"/>
    <n v="19204"/>
    <n v="8"/>
    <n v="4801"/>
  </r>
  <r>
    <x v="0"/>
    <x v="0"/>
    <x v="20"/>
    <x v="288"/>
    <x v="0"/>
    <x v="1"/>
    <n v="50"/>
    <x v="0"/>
    <s v="Confirmed"/>
    <n v="1"/>
    <x v="1"/>
    <x v="0"/>
    <n v="4"/>
    <n v="0"/>
    <n v="70368"/>
    <n v="8"/>
    <n v="17592"/>
  </r>
  <r>
    <x v="1"/>
    <x v="2"/>
    <x v="86"/>
    <x v="289"/>
    <x v="1"/>
    <x v="2"/>
    <n v="50"/>
    <x v="3"/>
    <s v="Confirmed"/>
    <n v="15"/>
    <x v="1"/>
    <x v="1"/>
    <n v="4"/>
    <n v="10"/>
    <n v="29763"/>
    <n v="10"/>
    <n v="6614"/>
  </r>
  <r>
    <x v="1"/>
    <x v="2"/>
    <x v="21"/>
    <x v="290"/>
    <x v="0"/>
    <x v="0"/>
    <n v="50"/>
    <x v="2"/>
    <s v="Confirmed"/>
    <n v="14"/>
    <x v="0"/>
    <x v="2"/>
    <n v="5"/>
    <n v="15"/>
    <n v="35054"/>
    <n v="4"/>
    <n v="20620"/>
  </r>
  <r>
    <x v="4"/>
    <x v="1"/>
    <x v="12"/>
    <x v="291"/>
    <x v="1"/>
    <x v="0"/>
    <n v="50"/>
    <x v="2"/>
    <s v="Confirmed"/>
    <n v="16"/>
    <x v="1"/>
    <x v="4"/>
    <n v="3"/>
    <n v="10"/>
    <n v="36957.599999999999"/>
    <n v="4"/>
    <n v="20532"/>
  </r>
  <r>
    <x v="4"/>
    <x v="2"/>
    <x v="60"/>
    <x v="292"/>
    <x v="0"/>
    <x v="1"/>
    <n v="50"/>
    <x v="4"/>
    <s v="Confirmed"/>
    <n v="2"/>
    <x v="1"/>
    <x v="1"/>
    <n v="2"/>
    <n v="15"/>
    <n v="90178.2"/>
    <n v="6"/>
    <n v="35364"/>
  </r>
  <r>
    <x v="4"/>
    <x v="2"/>
    <x v="214"/>
    <x v="293"/>
    <x v="1"/>
    <x v="0"/>
    <n v="50"/>
    <x v="3"/>
    <s v="Confirmed"/>
    <n v="1"/>
    <x v="0"/>
    <x v="1"/>
    <n v="2"/>
    <n v="5"/>
    <n v="131945.5"/>
    <n v="10"/>
    <n v="27778"/>
  </r>
  <r>
    <x v="1"/>
    <x v="0"/>
    <x v="115"/>
    <x v="294"/>
    <x v="3"/>
    <x v="0"/>
    <n v="50"/>
    <x v="4"/>
    <s v="Confirmed"/>
    <n v="6"/>
    <x v="0"/>
    <x v="3"/>
    <n v="2"/>
    <n v="0"/>
    <n v="34632"/>
    <n v="6"/>
    <n v="11544"/>
  </r>
  <r>
    <x v="2"/>
    <x v="2"/>
    <x v="154"/>
    <x v="295"/>
    <x v="3"/>
    <x v="0"/>
    <n v="50"/>
    <x v="4"/>
    <s v="Confirmed"/>
    <n v="5"/>
    <x v="1"/>
    <x v="3"/>
    <n v="3"/>
    <n v="15"/>
    <n v="117595.8"/>
    <n v="6"/>
    <n v="46116"/>
  </r>
  <r>
    <x v="1"/>
    <x v="1"/>
    <x v="28"/>
    <x v="296"/>
    <x v="1"/>
    <x v="1"/>
    <n v="50"/>
    <x v="1"/>
    <s v="Confirmed"/>
    <n v="25"/>
    <x v="1"/>
    <x v="4"/>
    <n v="5"/>
    <n v="10"/>
    <n v="21547.8"/>
    <n v="2"/>
    <n v="23942"/>
  </r>
  <r>
    <x v="0"/>
    <x v="2"/>
    <x v="215"/>
    <x v="297"/>
    <x v="0"/>
    <x v="0"/>
    <n v="50"/>
    <x v="2"/>
    <s v="Confirmed"/>
    <n v="20"/>
    <x v="0"/>
    <x v="1"/>
    <n v="1"/>
    <n v="15"/>
    <n v="45628"/>
    <n v="4"/>
    <n v="26840"/>
  </r>
  <r>
    <x v="0"/>
    <x v="0"/>
    <x v="145"/>
    <x v="298"/>
    <x v="0"/>
    <x v="0"/>
    <n v="50"/>
    <x v="1"/>
    <s v="Confirmed"/>
    <n v="1"/>
    <x v="1"/>
    <x v="2"/>
    <n v="2"/>
    <n v="0"/>
    <n v="19476"/>
    <n v="2"/>
    <n v="19476"/>
  </r>
  <r>
    <x v="2"/>
    <x v="2"/>
    <x v="216"/>
    <x v="299"/>
    <x v="3"/>
    <x v="0"/>
    <n v="50"/>
    <x v="2"/>
    <s v="Confirmed"/>
    <n v="5"/>
    <x v="0"/>
    <x v="4"/>
    <n v="5"/>
    <n v="15"/>
    <n v="22858.2"/>
    <n v="4"/>
    <n v="13446"/>
  </r>
  <r>
    <x v="0"/>
    <x v="0"/>
    <x v="87"/>
    <x v="300"/>
    <x v="3"/>
    <x v="2"/>
    <n v="50"/>
    <x v="2"/>
    <s v="Confirmed"/>
    <n v="6"/>
    <x v="0"/>
    <x v="4"/>
    <n v="3"/>
    <n v="10"/>
    <n v="101707.2"/>
    <n v="4"/>
    <n v="56504"/>
  </r>
  <r>
    <x v="3"/>
    <x v="0"/>
    <x v="217"/>
    <x v="301"/>
    <x v="0"/>
    <x v="1"/>
    <n v="50"/>
    <x v="1"/>
    <s v="Confirmed"/>
    <n v="2"/>
    <x v="1"/>
    <x v="1"/>
    <n v="4"/>
    <n v="10"/>
    <n v="18392.400000000001"/>
    <n v="2"/>
    <n v="20436"/>
  </r>
  <r>
    <x v="5"/>
    <x v="2"/>
    <x v="79"/>
    <x v="302"/>
    <x v="3"/>
    <x v="0"/>
    <n v="50"/>
    <x v="1"/>
    <s v="Confirmed"/>
    <n v="18"/>
    <x v="0"/>
    <x v="3"/>
    <n v="1"/>
    <n v="0"/>
    <n v="28308"/>
    <n v="2"/>
    <n v="28308"/>
  </r>
  <r>
    <x v="3"/>
    <x v="2"/>
    <x v="218"/>
    <x v="303"/>
    <x v="0"/>
    <x v="1"/>
    <n v="50"/>
    <x v="4"/>
    <s v="Confirmed"/>
    <n v="25"/>
    <x v="0"/>
    <x v="0"/>
    <n v="3"/>
    <n v="15"/>
    <n v="22944.9"/>
    <n v="6"/>
    <n v="8998"/>
  </r>
  <r>
    <x v="4"/>
    <x v="1"/>
    <x v="145"/>
    <x v="304"/>
    <x v="0"/>
    <x v="0"/>
    <n v="50"/>
    <x v="4"/>
    <s v="Confirmed"/>
    <n v="29"/>
    <x v="1"/>
    <x v="2"/>
    <n v="3"/>
    <n v="10"/>
    <n v="128779.2"/>
    <n v="6"/>
    <n v="47696"/>
  </r>
  <r>
    <x v="1"/>
    <x v="2"/>
    <x v="101"/>
    <x v="14"/>
    <x v="3"/>
    <x v="2"/>
    <n v="50"/>
    <x v="1"/>
    <s v="Cancelled"/>
    <n v="9"/>
    <x v="0"/>
    <x v="0"/>
    <n v="5"/>
    <n v="0"/>
    <n v="0"/>
    <n v="2"/>
    <n v="0"/>
  </r>
  <r>
    <x v="0"/>
    <x v="0"/>
    <x v="109"/>
    <x v="305"/>
    <x v="2"/>
    <x v="1"/>
    <n v="50"/>
    <x v="2"/>
    <s v="Confirmed"/>
    <n v="6"/>
    <x v="1"/>
    <x v="3"/>
    <n v="4"/>
    <n v="0"/>
    <n v="23710"/>
    <n v="4"/>
    <n v="11855"/>
  </r>
  <r>
    <x v="1"/>
    <x v="2"/>
    <x v="219"/>
    <x v="306"/>
    <x v="3"/>
    <x v="0"/>
    <n v="50"/>
    <x v="0"/>
    <s v="Confirmed"/>
    <n v="11"/>
    <x v="1"/>
    <x v="3"/>
    <n v="3"/>
    <n v="5"/>
    <n v="126163.8"/>
    <n v="8"/>
    <n v="33201"/>
  </r>
  <r>
    <x v="2"/>
    <x v="0"/>
    <x v="20"/>
    <x v="307"/>
    <x v="1"/>
    <x v="1"/>
    <n v="50"/>
    <x v="1"/>
    <s v="Confirmed"/>
    <n v="5"/>
    <x v="0"/>
    <x v="0"/>
    <n v="1"/>
    <n v="5"/>
    <n v="14041"/>
    <n v="2"/>
    <n v="14780"/>
  </r>
  <r>
    <x v="1"/>
    <x v="2"/>
    <x v="220"/>
    <x v="308"/>
    <x v="1"/>
    <x v="0"/>
    <n v="50"/>
    <x v="1"/>
    <s v="Confirmed"/>
    <n v="21"/>
    <x v="1"/>
    <x v="0"/>
    <n v="1"/>
    <n v="5"/>
    <n v="27020.85"/>
    <n v="2"/>
    <n v="28443"/>
  </r>
  <r>
    <x v="3"/>
    <x v="2"/>
    <x v="221"/>
    <x v="309"/>
    <x v="1"/>
    <x v="1"/>
    <n v="50"/>
    <x v="2"/>
    <s v="Confirmed"/>
    <n v="24"/>
    <x v="0"/>
    <x v="2"/>
    <n v="3"/>
    <n v="0"/>
    <n v="22192"/>
    <n v="4"/>
    <n v="11096"/>
  </r>
  <r>
    <x v="0"/>
    <x v="1"/>
    <x v="222"/>
    <x v="310"/>
    <x v="3"/>
    <x v="0"/>
    <n v="50"/>
    <x v="4"/>
    <s v="Confirmed"/>
    <n v="8"/>
    <x v="0"/>
    <x v="4"/>
    <n v="1"/>
    <n v="10"/>
    <n v="137246.39999999999"/>
    <n v="6"/>
    <n v="50832"/>
  </r>
  <r>
    <x v="4"/>
    <x v="0"/>
    <x v="14"/>
    <x v="311"/>
    <x v="3"/>
    <x v="1"/>
    <n v="50"/>
    <x v="4"/>
    <s v="Confirmed"/>
    <n v="27"/>
    <x v="0"/>
    <x v="1"/>
    <n v="1"/>
    <n v="15"/>
    <n v="25525.5"/>
    <n v="6"/>
    <n v="10010"/>
  </r>
  <r>
    <x v="2"/>
    <x v="2"/>
    <x v="223"/>
    <x v="14"/>
    <x v="3"/>
    <x v="0"/>
    <n v="50"/>
    <x v="0"/>
    <s v="Cancelled"/>
    <n v="5"/>
    <x v="0"/>
    <x v="1"/>
    <n v="5"/>
    <n v="15"/>
    <n v="0"/>
    <n v="8"/>
    <n v="0"/>
  </r>
  <r>
    <x v="5"/>
    <x v="2"/>
    <x v="224"/>
    <x v="312"/>
    <x v="0"/>
    <x v="0"/>
    <n v="50"/>
    <x v="2"/>
    <s v="Confirmed"/>
    <n v="27"/>
    <x v="1"/>
    <x v="0"/>
    <n v="4"/>
    <n v="15"/>
    <n v="14654"/>
    <n v="4"/>
    <n v="8620"/>
  </r>
  <r>
    <x v="0"/>
    <x v="0"/>
    <x v="163"/>
    <x v="313"/>
    <x v="0"/>
    <x v="2"/>
    <n v="50"/>
    <x v="1"/>
    <s v="Confirmed"/>
    <n v="23"/>
    <x v="0"/>
    <x v="1"/>
    <n v="5"/>
    <n v="0"/>
    <n v="24348"/>
    <n v="2"/>
    <n v="24348"/>
  </r>
  <r>
    <x v="5"/>
    <x v="0"/>
    <x v="23"/>
    <x v="314"/>
    <x v="2"/>
    <x v="0"/>
    <n v="50"/>
    <x v="2"/>
    <s v="Confirmed"/>
    <n v="28"/>
    <x v="0"/>
    <x v="2"/>
    <n v="4"/>
    <n v="0"/>
    <n v="14642"/>
    <n v="4"/>
    <n v="7321"/>
  </r>
  <r>
    <x v="5"/>
    <x v="0"/>
    <x v="225"/>
    <x v="315"/>
    <x v="2"/>
    <x v="0"/>
    <n v="50"/>
    <x v="1"/>
    <s v="Confirmed"/>
    <n v="10"/>
    <x v="0"/>
    <x v="0"/>
    <n v="5"/>
    <n v="5"/>
    <n v="32752.2"/>
    <n v="2"/>
    <n v="34476"/>
  </r>
  <r>
    <x v="4"/>
    <x v="1"/>
    <x v="167"/>
    <x v="316"/>
    <x v="1"/>
    <x v="0"/>
    <n v="50"/>
    <x v="2"/>
    <s v="Confirmed"/>
    <n v="15"/>
    <x v="1"/>
    <x v="3"/>
    <n v="5"/>
    <n v="5"/>
    <n v="58128.6"/>
    <n v="4"/>
    <n v="30594"/>
  </r>
  <r>
    <x v="3"/>
    <x v="1"/>
    <x v="172"/>
    <x v="317"/>
    <x v="0"/>
    <x v="0"/>
    <n v="50"/>
    <x v="2"/>
    <s v="Confirmed"/>
    <n v="30"/>
    <x v="1"/>
    <x v="1"/>
    <n v="5"/>
    <n v="5"/>
    <n v="11973.8"/>
    <n v="4"/>
    <n v="6302"/>
  </r>
  <r>
    <x v="0"/>
    <x v="2"/>
    <x v="226"/>
    <x v="14"/>
    <x v="3"/>
    <x v="0"/>
    <n v="50"/>
    <x v="1"/>
    <s v="Cancelled"/>
    <n v="12"/>
    <x v="0"/>
    <x v="4"/>
    <n v="2"/>
    <n v="10"/>
    <n v="0"/>
    <n v="2"/>
    <n v="0"/>
  </r>
  <r>
    <x v="2"/>
    <x v="1"/>
    <x v="227"/>
    <x v="318"/>
    <x v="2"/>
    <x v="0"/>
    <n v="50"/>
    <x v="2"/>
    <s v="Confirmed"/>
    <n v="1"/>
    <x v="0"/>
    <x v="0"/>
    <n v="3"/>
    <n v="5"/>
    <n v="19539.599999999999"/>
    <n v="4"/>
    <n v="10284"/>
  </r>
  <r>
    <x v="5"/>
    <x v="1"/>
    <x v="25"/>
    <x v="14"/>
    <x v="3"/>
    <x v="2"/>
    <n v="50"/>
    <x v="4"/>
    <s v="Cancelled"/>
    <n v="15"/>
    <x v="0"/>
    <x v="2"/>
    <n v="1"/>
    <n v="0"/>
    <n v="0"/>
    <n v="6"/>
    <n v="0"/>
  </r>
  <r>
    <x v="1"/>
    <x v="2"/>
    <x v="224"/>
    <x v="319"/>
    <x v="2"/>
    <x v="0"/>
    <n v="50"/>
    <x v="0"/>
    <s v="Confirmed"/>
    <n v="2"/>
    <x v="1"/>
    <x v="1"/>
    <n v="3"/>
    <n v="15"/>
    <n v="62940.800000000003"/>
    <n v="8"/>
    <n v="18512"/>
  </r>
  <r>
    <x v="2"/>
    <x v="1"/>
    <x v="63"/>
    <x v="320"/>
    <x v="0"/>
    <x v="1"/>
    <n v="50"/>
    <x v="2"/>
    <s v="Confirmed"/>
    <n v="18"/>
    <x v="1"/>
    <x v="3"/>
    <n v="1"/>
    <n v="5"/>
    <n v="56316"/>
    <n v="4"/>
    <n v="29640"/>
  </r>
  <r>
    <x v="1"/>
    <x v="2"/>
    <x v="99"/>
    <x v="14"/>
    <x v="3"/>
    <x v="0"/>
    <n v="50"/>
    <x v="2"/>
    <s v="Cancelled"/>
    <n v="21"/>
    <x v="1"/>
    <x v="3"/>
    <n v="2"/>
    <n v="5"/>
    <n v="0"/>
    <n v="4"/>
    <n v="0"/>
  </r>
  <r>
    <x v="3"/>
    <x v="1"/>
    <x v="228"/>
    <x v="14"/>
    <x v="2"/>
    <x v="0"/>
    <n v="50"/>
    <x v="3"/>
    <s v="Cancelled"/>
    <n v="1"/>
    <x v="0"/>
    <x v="2"/>
    <n v="4"/>
    <n v="5"/>
    <n v="0"/>
    <n v="10"/>
    <n v="0"/>
  </r>
  <r>
    <x v="3"/>
    <x v="2"/>
    <x v="12"/>
    <x v="321"/>
    <x v="1"/>
    <x v="0"/>
    <n v="50"/>
    <x v="3"/>
    <s v="Confirmed"/>
    <n v="9"/>
    <x v="0"/>
    <x v="1"/>
    <n v="4"/>
    <n v="10"/>
    <n v="130716"/>
    <n v="10"/>
    <n v="29048"/>
  </r>
  <r>
    <x v="1"/>
    <x v="2"/>
    <x v="229"/>
    <x v="322"/>
    <x v="2"/>
    <x v="2"/>
    <n v="50"/>
    <x v="3"/>
    <s v="Confirmed"/>
    <n v="30"/>
    <x v="0"/>
    <x v="1"/>
    <n v="2"/>
    <n v="0"/>
    <n v="37445"/>
    <n v="10"/>
    <n v="7489"/>
  </r>
  <r>
    <x v="1"/>
    <x v="1"/>
    <x v="33"/>
    <x v="323"/>
    <x v="0"/>
    <x v="0"/>
    <n v="50"/>
    <x v="0"/>
    <s v="Confirmed"/>
    <n v="2"/>
    <x v="1"/>
    <x v="4"/>
    <n v="4"/>
    <n v="15"/>
    <n v="100497.2"/>
    <n v="8"/>
    <n v="29558"/>
  </r>
  <r>
    <x v="5"/>
    <x v="1"/>
    <x v="143"/>
    <x v="324"/>
    <x v="2"/>
    <x v="0"/>
    <n v="50"/>
    <x v="2"/>
    <s v="Confirmed"/>
    <n v="6"/>
    <x v="1"/>
    <x v="3"/>
    <n v="3"/>
    <n v="10"/>
    <n v="45396"/>
    <n v="4"/>
    <n v="25220"/>
  </r>
  <r>
    <x v="5"/>
    <x v="2"/>
    <x v="128"/>
    <x v="325"/>
    <x v="1"/>
    <x v="1"/>
    <n v="50"/>
    <x v="1"/>
    <s v="Confirmed"/>
    <n v="8"/>
    <x v="0"/>
    <x v="1"/>
    <n v="5"/>
    <n v="15"/>
    <n v="4826.3"/>
    <n v="2"/>
    <n v="5678"/>
  </r>
  <r>
    <x v="2"/>
    <x v="2"/>
    <x v="230"/>
    <x v="326"/>
    <x v="1"/>
    <x v="1"/>
    <n v="50"/>
    <x v="4"/>
    <s v="Confirmed"/>
    <n v="14"/>
    <x v="1"/>
    <x v="1"/>
    <n v="5"/>
    <n v="15"/>
    <n v="68477.7"/>
    <n v="6"/>
    <n v="26854"/>
  </r>
  <r>
    <x v="2"/>
    <x v="2"/>
    <x v="163"/>
    <x v="327"/>
    <x v="0"/>
    <x v="2"/>
    <n v="50"/>
    <x v="0"/>
    <s v="Confirmed"/>
    <n v="1"/>
    <x v="1"/>
    <x v="1"/>
    <n v="3"/>
    <n v="15"/>
    <n v="67292.800000000003"/>
    <n v="8"/>
    <n v="19792"/>
  </r>
  <r>
    <x v="2"/>
    <x v="1"/>
    <x v="231"/>
    <x v="328"/>
    <x v="2"/>
    <x v="0"/>
    <n v="50"/>
    <x v="3"/>
    <s v="Confirmed"/>
    <n v="28"/>
    <x v="0"/>
    <x v="2"/>
    <n v="5"/>
    <n v="10"/>
    <n v="257544"/>
    <n v="10"/>
    <n v="57232"/>
  </r>
  <r>
    <x v="3"/>
    <x v="1"/>
    <x v="232"/>
    <x v="329"/>
    <x v="3"/>
    <x v="0"/>
    <n v="50"/>
    <x v="0"/>
    <s v="Confirmed"/>
    <n v="3"/>
    <x v="0"/>
    <x v="4"/>
    <n v="2"/>
    <n v="15"/>
    <n v="112213.6"/>
    <n v="8"/>
    <n v="33004"/>
  </r>
  <r>
    <x v="5"/>
    <x v="2"/>
    <x v="233"/>
    <x v="330"/>
    <x v="2"/>
    <x v="0"/>
    <n v="50"/>
    <x v="4"/>
    <s v="Confirmed"/>
    <n v="20"/>
    <x v="0"/>
    <x v="4"/>
    <n v="1"/>
    <n v="5"/>
    <n v="75200.100000000006"/>
    <n v="6"/>
    <n v="26386"/>
  </r>
  <r>
    <x v="1"/>
    <x v="2"/>
    <x v="222"/>
    <x v="331"/>
    <x v="0"/>
    <x v="0"/>
    <n v="50"/>
    <x v="4"/>
    <s v="Confirmed"/>
    <n v="4"/>
    <x v="0"/>
    <x v="1"/>
    <n v="5"/>
    <n v="15"/>
    <n v="79407"/>
    <n v="6"/>
    <n v="31140"/>
  </r>
  <r>
    <x v="3"/>
    <x v="0"/>
    <x v="95"/>
    <x v="332"/>
    <x v="3"/>
    <x v="0"/>
    <n v="50"/>
    <x v="3"/>
    <s v="Confirmed"/>
    <n v="10"/>
    <x v="1"/>
    <x v="3"/>
    <n v="2"/>
    <n v="15"/>
    <n v="41820"/>
    <n v="10"/>
    <n v="9840"/>
  </r>
  <r>
    <x v="1"/>
    <x v="1"/>
    <x v="234"/>
    <x v="333"/>
    <x v="1"/>
    <x v="0"/>
    <n v="50"/>
    <x v="2"/>
    <s v="Confirmed"/>
    <n v="20"/>
    <x v="0"/>
    <x v="0"/>
    <n v="4"/>
    <n v="10"/>
    <n v="52239.6"/>
    <n v="4"/>
    <n v="29022"/>
  </r>
  <r>
    <x v="2"/>
    <x v="1"/>
    <x v="235"/>
    <x v="334"/>
    <x v="2"/>
    <x v="2"/>
    <n v="50"/>
    <x v="1"/>
    <s v="Confirmed"/>
    <n v="11"/>
    <x v="0"/>
    <x v="0"/>
    <n v="2"/>
    <n v="5"/>
    <n v="42655"/>
    <n v="2"/>
    <n v="44900"/>
  </r>
  <r>
    <x v="3"/>
    <x v="2"/>
    <x v="40"/>
    <x v="335"/>
    <x v="2"/>
    <x v="0"/>
    <n v="50"/>
    <x v="4"/>
    <s v="Confirmed"/>
    <n v="15"/>
    <x v="1"/>
    <x v="2"/>
    <n v="2"/>
    <n v="10"/>
    <n v="28247.4"/>
    <n v="6"/>
    <n v="10462"/>
  </r>
  <r>
    <x v="3"/>
    <x v="1"/>
    <x v="135"/>
    <x v="336"/>
    <x v="2"/>
    <x v="0"/>
    <n v="50"/>
    <x v="2"/>
    <s v="Confirmed"/>
    <n v="23"/>
    <x v="0"/>
    <x v="4"/>
    <n v="5"/>
    <n v="5"/>
    <n v="70018.8"/>
    <n v="4"/>
    <n v="36852"/>
  </r>
  <r>
    <x v="0"/>
    <x v="2"/>
    <x v="24"/>
    <x v="14"/>
    <x v="2"/>
    <x v="0"/>
    <n v="50"/>
    <x v="3"/>
    <s v="Cancelled"/>
    <n v="3"/>
    <x v="1"/>
    <x v="4"/>
    <n v="5"/>
    <n v="15"/>
    <n v="0"/>
    <n v="10"/>
    <n v="0"/>
  </r>
  <r>
    <x v="2"/>
    <x v="0"/>
    <x v="42"/>
    <x v="14"/>
    <x v="1"/>
    <x v="0"/>
    <n v="50"/>
    <x v="1"/>
    <s v="Cancelled"/>
    <n v="23"/>
    <x v="0"/>
    <x v="2"/>
    <n v="2"/>
    <n v="15"/>
    <n v="0"/>
    <n v="2"/>
    <n v="0"/>
  </r>
  <r>
    <x v="4"/>
    <x v="1"/>
    <x v="236"/>
    <x v="337"/>
    <x v="1"/>
    <x v="0"/>
    <n v="50"/>
    <x v="4"/>
    <s v="Confirmed"/>
    <n v="11"/>
    <x v="1"/>
    <x v="1"/>
    <n v="5"/>
    <n v="15"/>
    <n v="30271.05"/>
    <n v="6"/>
    <n v="11871"/>
  </r>
  <r>
    <x v="0"/>
    <x v="2"/>
    <x v="237"/>
    <x v="338"/>
    <x v="0"/>
    <x v="0"/>
    <n v="50"/>
    <x v="2"/>
    <s v="Confirmed"/>
    <n v="8"/>
    <x v="0"/>
    <x v="0"/>
    <n v="3"/>
    <n v="10"/>
    <n v="79471.8"/>
    <n v="4"/>
    <n v="44151"/>
  </r>
  <r>
    <x v="0"/>
    <x v="1"/>
    <x v="166"/>
    <x v="332"/>
    <x v="2"/>
    <x v="0"/>
    <n v="50"/>
    <x v="2"/>
    <s v="Confirmed"/>
    <n v="23"/>
    <x v="1"/>
    <x v="1"/>
    <n v="2"/>
    <n v="5"/>
    <n v="46740"/>
    <n v="4"/>
    <n v="24600"/>
  </r>
  <r>
    <x v="0"/>
    <x v="1"/>
    <x v="86"/>
    <x v="339"/>
    <x v="0"/>
    <x v="2"/>
    <n v="50"/>
    <x v="3"/>
    <s v="Confirmed"/>
    <n v="26"/>
    <x v="1"/>
    <x v="2"/>
    <n v="4"/>
    <n v="0"/>
    <n v="210015"/>
    <n v="10"/>
    <n v="42003"/>
  </r>
  <r>
    <x v="4"/>
    <x v="1"/>
    <x v="0"/>
    <x v="14"/>
    <x v="3"/>
    <x v="0"/>
    <n v="50"/>
    <x v="3"/>
    <s v="Cancelled"/>
    <n v="18"/>
    <x v="1"/>
    <x v="4"/>
    <n v="2"/>
    <n v="10"/>
    <n v="0"/>
    <n v="10"/>
    <n v="0"/>
  </r>
  <r>
    <x v="0"/>
    <x v="0"/>
    <x v="66"/>
    <x v="340"/>
    <x v="3"/>
    <x v="1"/>
    <n v="50"/>
    <x v="2"/>
    <s v="Confirmed"/>
    <n v="13"/>
    <x v="1"/>
    <x v="3"/>
    <n v="1"/>
    <n v="15"/>
    <n v="20588.7"/>
    <n v="4"/>
    <n v="12111"/>
  </r>
  <r>
    <x v="1"/>
    <x v="0"/>
    <x v="222"/>
    <x v="341"/>
    <x v="3"/>
    <x v="0"/>
    <n v="50"/>
    <x v="3"/>
    <s v="Confirmed"/>
    <n v="23"/>
    <x v="0"/>
    <x v="1"/>
    <n v="4"/>
    <n v="10"/>
    <n v="219294"/>
    <n v="10"/>
    <n v="48732"/>
  </r>
  <r>
    <x v="3"/>
    <x v="2"/>
    <x v="238"/>
    <x v="342"/>
    <x v="1"/>
    <x v="1"/>
    <n v="50"/>
    <x v="2"/>
    <s v="Confirmed"/>
    <n v="30"/>
    <x v="0"/>
    <x v="0"/>
    <n v="4"/>
    <n v="10"/>
    <n v="34948.800000000003"/>
    <n v="4"/>
    <n v="19416"/>
  </r>
  <r>
    <x v="4"/>
    <x v="1"/>
    <x v="149"/>
    <x v="343"/>
    <x v="3"/>
    <x v="0"/>
    <n v="50"/>
    <x v="3"/>
    <s v="Confirmed"/>
    <n v="2"/>
    <x v="0"/>
    <x v="4"/>
    <n v="5"/>
    <n v="5"/>
    <n v="21555.5"/>
    <n v="10"/>
    <n v="4538"/>
  </r>
  <r>
    <x v="3"/>
    <x v="2"/>
    <x v="239"/>
    <x v="344"/>
    <x v="2"/>
    <x v="2"/>
    <n v="50"/>
    <x v="3"/>
    <s v="Confirmed"/>
    <n v="18"/>
    <x v="1"/>
    <x v="2"/>
    <n v="5"/>
    <n v="15"/>
    <n v="197081"/>
    <n v="10"/>
    <n v="46372"/>
  </r>
  <r>
    <x v="4"/>
    <x v="0"/>
    <x v="198"/>
    <x v="345"/>
    <x v="3"/>
    <x v="0"/>
    <n v="50"/>
    <x v="2"/>
    <s v="Confirmed"/>
    <n v="16"/>
    <x v="1"/>
    <x v="2"/>
    <n v="4"/>
    <n v="15"/>
    <n v="60562.5"/>
    <n v="4"/>
    <n v="35625"/>
  </r>
  <r>
    <x v="1"/>
    <x v="2"/>
    <x v="240"/>
    <x v="346"/>
    <x v="2"/>
    <x v="0"/>
    <n v="50"/>
    <x v="2"/>
    <s v="Confirmed"/>
    <n v="20"/>
    <x v="0"/>
    <x v="4"/>
    <n v="3"/>
    <n v="15"/>
    <n v="10976.9"/>
    <n v="4"/>
    <n v="6457"/>
  </r>
  <r>
    <x v="1"/>
    <x v="2"/>
    <x v="56"/>
    <x v="14"/>
    <x v="1"/>
    <x v="2"/>
    <n v="50"/>
    <x v="3"/>
    <s v="Cancelled"/>
    <n v="12"/>
    <x v="0"/>
    <x v="1"/>
    <n v="5"/>
    <n v="0"/>
    <n v="0"/>
    <n v="10"/>
    <n v="0"/>
  </r>
  <r>
    <x v="2"/>
    <x v="1"/>
    <x v="74"/>
    <x v="347"/>
    <x v="3"/>
    <x v="0"/>
    <n v="50"/>
    <x v="3"/>
    <s v="Confirmed"/>
    <n v="6"/>
    <x v="0"/>
    <x v="4"/>
    <n v="2"/>
    <n v="0"/>
    <n v="61190"/>
    <n v="10"/>
    <n v="12238"/>
  </r>
  <r>
    <x v="1"/>
    <x v="2"/>
    <x v="211"/>
    <x v="348"/>
    <x v="3"/>
    <x v="2"/>
    <n v="50"/>
    <x v="2"/>
    <s v="Confirmed"/>
    <n v="24"/>
    <x v="0"/>
    <x v="1"/>
    <n v="4"/>
    <n v="10"/>
    <n v="26834.400000000001"/>
    <n v="4"/>
    <n v="14908"/>
  </r>
  <r>
    <x v="3"/>
    <x v="0"/>
    <x v="149"/>
    <x v="349"/>
    <x v="1"/>
    <x v="0"/>
    <n v="50"/>
    <x v="1"/>
    <s v="Confirmed"/>
    <n v="29"/>
    <x v="0"/>
    <x v="0"/>
    <n v="3"/>
    <n v="0"/>
    <n v="8937"/>
    <n v="2"/>
    <n v="8937"/>
  </r>
  <r>
    <x v="3"/>
    <x v="1"/>
    <x v="160"/>
    <x v="14"/>
    <x v="3"/>
    <x v="1"/>
    <n v="50"/>
    <x v="3"/>
    <s v="Cancelled"/>
    <n v="14"/>
    <x v="1"/>
    <x v="4"/>
    <n v="2"/>
    <n v="10"/>
    <n v="0"/>
    <n v="10"/>
    <n v="0"/>
  </r>
  <r>
    <x v="4"/>
    <x v="1"/>
    <x v="88"/>
    <x v="350"/>
    <x v="0"/>
    <x v="0"/>
    <n v="50"/>
    <x v="2"/>
    <s v="Confirmed"/>
    <n v="8"/>
    <x v="1"/>
    <x v="2"/>
    <n v="3"/>
    <n v="5"/>
    <n v="59912.7"/>
    <n v="4"/>
    <n v="31533"/>
  </r>
  <r>
    <x v="1"/>
    <x v="2"/>
    <x v="241"/>
    <x v="351"/>
    <x v="1"/>
    <x v="0"/>
    <n v="50"/>
    <x v="4"/>
    <s v="Confirmed"/>
    <n v="1"/>
    <x v="0"/>
    <x v="4"/>
    <n v="4"/>
    <n v="0"/>
    <n v="16062"/>
    <n v="6"/>
    <n v="5354"/>
  </r>
  <r>
    <x v="5"/>
    <x v="2"/>
    <x v="74"/>
    <x v="14"/>
    <x v="0"/>
    <x v="0"/>
    <n v="50"/>
    <x v="0"/>
    <s v="Cancelled"/>
    <n v="5"/>
    <x v="1"/>
    <x v="3"/>
    <n v="3"/>
    <n v="10"/>
    <n v="0"/>
    <n v="8"/>
    <n v="0"/>
  </r>
  <r>
    <x v="3"/>
    <x v="0"/>
    <x v="242"/>
    <x v="14"/>
    <x v="0"/>
    <x v="0"/>
    <n v="50"/>
    <x v="3"/>
    <s v="Cancelled"/>
    <n v="27"/>
    <x v="1"/>
    <x v="1"/>
    <n v="5"/>
    <n v="15"/>
    <n v="0"/>
    <n v="10"/>
    <n v="0"/>
  </r>
  <r>
    <x v="4"/>
    <x v="2"/>
    <x v="175"/>
    <x v="352"/>
    <x v="2"/>
    <x v="0"/>
    <n v="50"/>
    <x v="0"/>
    <s v="Confirmed"/>
    <n v="23"/>
    <x v="1"/>
    <x v="3"/>
    <n v="5"/>
    <n v="10"/>
    <n v="131587.20000000001"/>
    <n v="8"/>
    <n v="36552"/>
  </r>
  <r>
    <x v="0"/>
    <x v="2"/>
    <x v="187"/>
    <x v="353"/>
    <x v="3"/>
    <x v="0"/>
    <n v="50"/>
    <x v="4"/>
    <s v="Confirmed"/>
    <n v="10"/>
    <x v="0"/>
    <x v="3"/>
    <n v="2"/>
    <n v="15"/>
    <n v="92911.8"/>
    <n v="6"/>
    <n v="36436"/>
  </r>
  <r>
    <x v="4"/>
    <x v="2"/>
    <x v="120"/>
    <x v="14"/>
    <x v="0"/>
    <x v="0"/>
    <n v="50"/>
    <x v="3"/>
    <s v="Cancelled"/>
    <n v="11"/>
    <x v="0"/>
    <x v="4"/>
    <n v="5"/>
    <n v="0"/>
    <n v="0"/>
    <n v="10"/>
    <n v="0"/>
  </r>
  <r>
    <x v="3"/>
    <x v="0"/>
    <x v="172"/>
    <x v="354"/>
    <x v="0"/>
    <x v="0"/>
    <n v="50"/>
    <x v="1"/>
    <s v="Confirmed"/>
    <n v="25"/>
    <x v="0"/>
    <x v="3"/>
    <n v="5"/>
    <n v="10"/>
    <n v="17715.599999999999"/>
    <n v="2"/>
    <n v="19684"/>
  </r>
  <r>
    <x v="2"/>
    <x v="0"/>
    <x v="84"/>
    <x v="355"/>
    <x v="2"/>
    <x v="0"/>
    <n v="50"/>
    <x v="3"/>
    <s v="Confirmed"/>
    <n v="21"/>
    <x v="0"/>
    <x v="2"/>
    <n v="4"/>
    <n v="0"/>
    <n v="29980"/>
    <n v="10"/>
    <n v="5996"/>
  </r>
  <r>
    <x v="3"/>
    <x v="2"/>
    <x v="216"/>
    <x v="14"/>
    <x v="0"/>
    <x v="0"/>
    <n v="50"/>
    <x v="0"/>
    <s v="Cancelled"/>
    <n v="1"/>
    <x v="1"/>
    <x v="1"/>
    <n v="2"/>
    <n v="10"/>
    <n v="0"/>
    <n v="8"/>
    <n v="0"/>
  </r>
  <r>
    <x v="4"/>
    <x v="1"/>
    <x v="178"/>
    <x v="356"/>
    <x v="1"/>
    <x v="0"/>
    <n v="50"/>
    <x v="2"/>
    <s v="Confirmed"/>
    <n v="14"/>
    <x v="0"/>
    <x v="2"/>
    <n v="3"/>
    <n v="10"/>
    <n v="44895.6"/>
    <n v="4"/>
    <n v="24942"/>
  </r>
  <r>
    <x v="2"/>
    <x v="2"/>
    <x v="213"/>
    <x v="357"/>
    <x v="3"/>
    <x v="2"/>
    <n v="50"/>
    <x v="2"/>
    <s v="Confirmed"/>
    <n v="19"/>
    <x v="0"/>
    <x v="4"/>
    <n v="2"/>
    <n v="0"/>
    <n v="21192"/>
    <n v="4"/>
    <n v="10596"/>
  </r>
  <r>
    <x v="5"/>
    <x v="0"/>
    <x v="243"/>
    <x v="14"/>
    <x v="2"/>
    <x v="0"/>
    <n v="50"/>
    <x v="1"/>
    <s v="Cancelled"/>
    <n v="18"/>
    <x v="0"/>
    <x v="4"/>
    <n v="4"/>
    <n v="5"/>
    <n v="0"/>
    <n v="2"/>
    <n v="0"/>
  </r>
  <r>
    <x v="3"/>
    <x v="2"/>
    <x v="244"/>
    <x v="358"/>
    <x v="2"/>
    <x v="0"/>
    <n v="50"/>
    <x v="2"/>
    <s v="Confirmed"/>
    <n v="21"/>
    <x v="1"/>
    <x v="1"/>
    <n v="2"/>
    <n v="5"/>
    <n v="103390.39999999999"/>
    <n v="4"/>
    <n v="54416"/>
  </r>
  <r>
    <x v="5"/>
    <x v="1"/>
    <x v="61"/>
    <x v="359"/>
    <x v="3"/>
    <x v="0"/>
    <n v="50"/>
    <x v="0"/>
    <s v="Confirmed"/>
    <n v="8"/>
    <x v="1"/>
    <x v="3"/>
    <n v="5"/>
    <n v="10"/>
    <n v="19508.400000000001"/>
    <n v="8"/>
    <n v="5419"/>
  </r>
  <r>
    <x v="4"/>
    <x v="1"/>
    <x v="245"/>
    <x v="360"/>
    <x v="0"/>
    <x v="2"/>
    <n v="50"/>
    <x v="3"/>
    <s v="Confirmed"/>
    <n v="3"/>
    <x v="0"/>
    <x v="1"/>
    <n v="4"/>
    <n v="15"/>
    <n v="219708"/>
    <n v="10"/>
    <n v="51696"/>
  </r>
  <r>
    <x v="1"/>
    <x v="0"/>
    <x v="222"/>
    <x v="14"/>
    <x v="2"/>
    <x v="0"/>
    <n v="50"/>
    <x v="3"/>
    <s v="Cancelled"/>
    <n v="16"/>
    <x v="1"/>
    <x v="1"/>
    <n v="1"/>
    <n v="5"/>
    <n v="0"/>
    <n v="10"/>
    <n v="0"/>
  </r>
  <r>
    <x v="2"/>
    <x v="0"/>
    <x v="156"/>
    <x v="361"/>
    <x v="2"/>
    <x v="0"/>
    <n v="50"/>
    <x v="1"/>
    <s v="Confirmed"/>
    <n v="14"/>
    <x v="1"/>
    <x v="1"/>
    <n v="3"/>
    <n v="15"/>
    <n v="19561.05"/>
    <n v="2"/>
    <n v="23013"/>
  </r>
  <r>
    <x v="3"/>
    <x v="2"/>
    <x v="234"/>
    <x v="362"/>
    <x v="1"/>
    <x v="0"/>
    <n v="50"/>
    <x v="0"/>
    <s v="Confirmed"/>
    <n v="25"/>
    <x v="1"/>
    <x v="4"/>
    <n v="2"/>
    <n v="15"/>
    <n v="100031.4"/>
    <n v="8"/>
    <n v="29421"/>
  </r>
  <r>
    <x v="3"/>
    <x v="0"/>
    <x v="244"/>
    <x v="14"/>
    <x v="1"/>
    <x v="0"/>
    <n v="50"/>
    <x v="3"/>
    <s v="Cancelled"/>
    <n v="8"/>
    <x v="0"/>
    <x v="1"/>
    <n v="5"/>
    <n v="5"/>
    <n v="0"/>
    <n v="10"/>
    <n v="0"/>
  </r>
  <r>
    <x v="4"/>
    <x v="0"/>
    <x v="244"/>
    <x v="363"/>
    <x v="1"/>
    <x v="0"/>
    <n v="50"/>
    <x v="2"/>
    <s v="Confirmed"/>
    <n v="1"/>
    <x v="1"/>
    <x v="1"/>
    <n v="1"/>
    <n v="0"/>
    <n v="42308"/>
    <n v="4"/>
    <n v="21154"/>
  </r>
  <r>
    <x v="4"/>
    <x v="2"/>
    <x v="185"/>
    <x v="14"/>
    <x v="1"/>
    <x v="0"/>
    <n v="50"/>
    <x v="3"/>
    <s v="Cancelled"/>
    <n v="21"/>
    <x v="0"/>
    <x v="3"/>
    <n v="1"/>
    <n v="15"/>
    <n v="0"/>
    <n v="10"/>
    <n v="0"/>
  </r>
  <r>
    <x v="2"/>
    <x v="0"/>
    <x v="246"/>
    <x v="364"/>
    <x v="0"/>
    <x v="0"/>
    <n v="50"/>
    <x v="0"/>
    <s v="Confirmed"/>
    <n v="22"/>
    <x v="0"/>
    <x v="2"/>
    <n v="4"/>
    <n v="10"/>
    <n v="57808.800000000003"/>
    <n v="8"/>
    <n v="16058"/>
  </r>
  <r>
    <x v="0"/>
    <x v="0"/>
    <x v="2"/>
    <x v="365"/>
    <x v="2"/>
    <x v="1"/>
    <n v="50"/>
    <x v="0"/>
    <s v="Confirmed"/>
    <n v="26"/>
    <x v="1"/>
    <x v="2"/>
    <n v="4"/>
    <n v="5"/>
    <n v="66492.399999999994"/>
    <n v="8"/>
    <n v="17498"/>
  </r>
  <r>
    <x v="2"/>
    <x v="2"/>
    <x v="14"/>
    <x v="366"/>
    <x v="0"/>
    <x v="1"/>
    <n v="50"/>
    <x v="2"/>
    <s v="Confirmed"/>
    <n v="16"/>
    <x v="0"/>
    <x v="4"/>
    <n v="2"/>
    <n v="15"/>
    <n v="21760"/>
    <n v="4"/>
    <n v="12800"/>
  </r>
  <r>
    <x v="0"/>
    <x v="1"/>
    <x v="247"/>
    <x v="367"/>
    <x v="3"/>
    <x v="1"/>
    <n v="50"/>
    <x v="3"/>
    <s v="Confirmed"/>
    <n v="30"/>
    <x v="1"/>
    <x v="3"/>
    <n v="3"/>
    <n v="15"/>
    <n v="49665.5"/>
    <n v="10"/>
    <n v="11686"/>
  </r>
  <r>
    <x v="1"/>
    <x v="0"/>
    <x v="145"/>
    <x v="368"/>
    <x v="0"/>
    <x v="0"/>
    <n v="50"/>
    <x v="4"/>
    <s v="Confirmed"/>
    <n v="6"/>
    <x v="1"/>
    <x v="3"/>
    <n v="3"/>
    <n v="15"/>
    <n v="32905.199999999997"/>
    <n v="6"/>
    <n v="12904"/>
  </r>
  <r>
    <x v="3"/>
    <x v="0"/>
    <x v="247"/>
    <x v="369"/>
    <x v="3"/>
    <x v="1"/>
    <n v="50"/>
    <x v="3"/>
    <s v="Confirmed"/>
    <n v="10"/>
    <x v="1"/>
    <x v="2"/>
    <n v="1"/>
    <n v="10"/>
    <n v="180378"/>
    <n v="10"/>
    <n v="40084"/>
  </r>
  <r>
    <x v="5"/>
    <x v="1"/>
    <x v="75"/>
    <x v="14"/>
    <x v="3"/>
    <x v="1"/>
    <n v="50"/>
    <x v="3"/>
    <s v="Cancelled"/>
    <n v="29"/>
    <x v="0"/>
    <x v="2"/>
    <n v="2"/>
    <n v="10"/>
    <n v="0"/>
    <n v="10"/>
    <n v="0"/>
  </r>
  <r>
    <x v="0"/>
    <x v="0"/>
    <x v="36"/>
    <x v="370"/>
    <x v="3"/>
    <x v="1"/>
    <n v="50"/>
    <x v="0"/>
    <s v="Confirmed"/>
    <n v="22"/>
    <x v="0"/>
    <x v="2"/>
    <n v="5"/>
    <n v="0"/>
    <n v="83864"/>
    <n v="8"/>
    <n v="20966"/>
  </r>
  <r>
    <x v="5"/>
    <x v="0"/>
    <x v="248"/>
    <x v="371"/>
    <x v="1"/>
    <x v="1"/>
    <n v="50"/>
    <x v="3"/>
    <s v="Confirmed"/>
    <n v="9"/>
    <x v="1"/>
    <x v="4"/>
    <n v="3"/>
    <n v="15"/>
    <n v="23698"/>
    <n v="10"/>
    <n v="5576"/>
  </r>
  <r>
    <x v="0"/>
    <x v="2"/>
    <x v="24"/>
    <x v="372"/>
    <x v="1"/>
    <x v="0"/>
    <n v="50"/>
    <x v="1"/>
    <s v="Confirmed"/>
    <n v="21"/>
    <x v="0"/>
    <x v="0"/>
    <n v="1"/>
    <n v="5"/>
    <n v="11501.65"/>
    <n v="2"/>
    <n v="12107"/>
  </r>
  <r>
    <x v="1"/>
    <x v="0"/>
    <x v="249"/>
    <x v="373"/>
    <x v="2"/>
    <x v="0"/>
    <n v="50"/>
    <x v="4"/>
    <s v="Confirmed"/>
    <n v="10"/>
    <x v="1"/>
    <x v="1"/>
    <n v="3"/>
    <n v="15"/>
    <n v="60990.9"/>
    <n v="6"/>
    <n v="23918"/>
  </r>
  <r>
    <x v="0"/>
    <x v="1"/>
    <x v="250"/>
    <x v="374"/>
    <x v="0"/>
    <x v="0"/>
    <n v="50"/>
    <x v="4"/>
    <s v="Confirmed"/>
    <n v="6"/>
    <x v="1"/>
    <x v="0"/>
    <n v="1"/>
    <n v="10"/>
    <n v="128984.4"/>
    <n v="6"/>
    <n v="47772"/>
  </r>
  <r>
    <x v="2"/>
    <x v="1"/>
    <x v="251"/>
    <x v="375"/>
    <x v="2"/>
    <x v="2"/>
    <n v="50"/>
    <x v="2"/>
    <s v="Confirmed"/>
    <n v="30"/>
    <x v="1"/>
    <x v="4"/>
    <n v="2"/>
    <n v="10"/>
    <n v="17013.599999999999"/>
    <n v="4"/>
    <n v="9452"/>
  </r>
  <r>
    <x v="2"/>
    <x v="0"/>
    <x v="47"/>
    <x v="376"/>
    <x v="0"/>
    <x v="2"/>
    <n v="50"/>
    <x v="2"/>
    <s v="Confirmed"/>
    <n v="11"/>
    <x v="0"/>
    <x v="3"/>
    <n v="5"/>
    <n v="15"/>
    <n v="22440"/>
    <n v="4"/>
    <n v="13200"/>
  </r>
  <r>
    <x v="1"/>
    <x v="2"/>
    <x v="95"/>
    <x v="377"/>
    <x v="2"/>
    <x v="0"/>
    <n v="50"/>
    <x v="2"/>
    <s v="Confirmed"/>
    <n v="19"/>
    <x v="0"/>
    <x v="1"/>
    <n v="2"/>
    <n v="0"/>
    <n v="45768"/>
    <n v="4"/>
    <n v="22884"/>
  </r>
  <r>
    <x v="1"/>
    <x v="1"/>
    <x v="229"/>
    <x v="378"/>
    <x v="0"/>
    <x v="2"/>
    <n v="50"/>
    <x v="2"/>
    <s v="Confirmed"/>
    <n v="14"/>
    <x v="0"/>
    <x v="2"/>
    <n v="2"/>
    <n v="15"/>
    <n v="24065.200000000001"/>
    <n v="4"/>
    <n v="14156"/>
  </r>
  <r>
    <x v="4"/>
    <x v="0"/>
    <x v="217"/>
    <x v="379"/>
    <x v="2"/>
    <x v="1"/>
    <n v="50"/>
    <x v="2"/>
    <s v="Confirmed"/>
    <n v="2"/>
    <x v="1"/>
    <x v="3"/>
    <n v="4"/>
    <n v="10"/>
    <n v="22255.200000000001"/>
    <n v="4"/>
    <n v="12364"/>
  </r>
  <r>
    <x v="4"/>
    <x v="2"/>
    <x v="116"/>
    <x v="14"/>
    <x v="1"/>
    <x v="0"/>
    <n v="50"/>
    <x v="4"/>
    <s v="Cancelled"/>
    <n v="24"/>
    <x v="1"/>
    <x v="0"/>
    <n v="3"/>
    <n v="0"/>
    <n v="0"/>
    <n v="6"/>
    <n v="0"/>
  </r>
  <r>
    <x v="1"/>
    <x v="1"/>
    <x v="113"/>
    <x v="380"/>
    <x v="2"/>
    <x v="0"/>
    <n v="50"/>
    <x v="0"/>
    <s v="Confirmed"/>
    <n v="5"/>
    <x v="0"/>
    <x v="0"/>
    <n v="2"/>
    <n v="0"/>
    <n v="105472"/>
    <n v="8"/>
    <n v="26368"/>
  </r>
  <r>
    <x v="0"/>
    <x v="1"/>
    <x v="47"/>
    <x v="14"/>
    <x v="1"/>
    <x v="2"/>
    <n v="50"/>
    <x v="2"/>
    <s v="Cancelled"/>
    <n v="23"/>
    <x v="1"/>
    <x v="3"/>
    <n v="4"/>
    <n v="15"/>
    <n v="0"/>
    <n v="4"/>
    <n v="0"/>
  </r>
  <r>
    <x v="0"/>
    <x v="1"/>
    <x v="137"/>
    <x v="381"/>
    <x v="3"/>
    <x v="2"/>
    <n v="50"/>
    <x v="4"/>
    <s v="Confirmed"/>
    <n v="3"/>
    <x v="1"/>
    <x v="4"/>
    <n v="4"/>
    <n v="5"/>
    <n v="72512.55"/>
    <n v="6"/>
    <n v="25443"/>
  </r>
  <r>
    <x v="5"/>
    <x v="1"/>
    <x v="124"/>
    <x v="14"/>
    <x v="1"/>
    <x v="1"/>
    <n v="50"/>
    <x v="0"/>
    <s v="Cancelled"/>
    <n v="28"/>
    <x v="1"/>
    <x v="1"/>
    <n v="3"/>
    <n v="15"/>
    <n v="0"/>
    <n v="8"/>
    <n v="0"/>
  </r>
  <r>
    <x v="2"/>
    <x v="2"/>
    <x v="206"/>
    <x v="382"/>
    <x v="1"/>
    <x v="0"/>
    <n v="50"/>
    <x v="1"/>
    <s v="Confirmed"/>
    <n v="25"/>
    <x v="1"/>
    <x v="3"/>
    <n v="2"/>
    <n v="5"/>
    <n v="53732"/>
    <n v="2"/>
    <n v="56560"/>
  </r>
  <r>
    <x v="3"/>
    <x v="0"/>
    <x v="97"/>
    <x v="383"/>
    <x v="2"/>
    <x v="2"/>
    <n v="50"/>
    <x v="1"/>
    <s v="Confirmed"/>
    <n v="30"/>
    <x v="0"/>
    <x v="1"/>
    <n v="2"/>
    <n v="5"/>
    <n v="16195.6"/>
    <n v="2"/>
    <n v="17048"/>
  </r>
  <r>
    <x v="0"/>
    <x v="0"/>
    <x v="170"/>
    <x v="384"/>
    <x v="2"/>
    <x v="0"/>
    <n v="50"/>
    <x v="0"/>
    <s v="Confirmed"/>
    <n v="8"/>
    <x v="0"/>
    <x v="2"/>
    <n v="4"/>
    <n v="10"/>
    <n v="86097.600000000006"/>
    <n v="8"/>
    <n v="23916"/>
  </r>
  <r>
    <x v="1"/>
    <x v="2"/>
    <x v="245"/>
    <x v="385"/>
    <x v="1"/>
    <x v="2"/>
    <n v="50"/>
    <x v="4"/>
    <s v="Confirmed"/>
    <n v="25"/>
    <x v="0"/>
    <x v="2"/>
    <n v="2"/>
    <n v="15"/>
    <n v="27983.7"/>
    <n v="6"/>
    <n v="10974"/>
  </r>
  <r>
    <x v="5"/>
    <x v="2"/>
    <x v="115"/>
    <x v="386"/>
    <x v="1"/>
    <x v="0"/>
    <n v="50"/>
    <x v="1"/>
    <s v="Confirmed"/>
    <n v="18"/>
    <x v="1"/>
    <x v="0"/>
    <n v="2"/>
    <n v="5"/>
    <n v="48545"/>
    <n v="2"/>
    <n v="51100"/>
  </r>
  <r>
    <x v="3"/>
    <x v="2"/>
    <x v="104"/>
    <x v="387"/>
    <x v="3"/>
    <x v="0"/>
    <n v="50"/>
    <x v="0"/>
    <s v="Confirmed"/>
    <n v="3"/>
    <x v="0"/>
    <x v="3"/>
    <n v="3"/>
    <n v="10"/>
    <n v="15220.8"/>
    <n v="8"/>
    <n v="4228"/>
  </r>
  <r>
    <x v="5"/>
    <x v="1"/>
    <x v="252"/>
    <x v="388"/>
    <x v="2"/>
    <x v="0"/>
    <n v="50"/>
    <x v="2"/>
    <s v="Confirmed"/>
    <n v="8"/>
    <x v="0"/>
    <x v="2"/>
    <n v="3"/>
    <n v="0"/>
    <n v="67848"/>
    <n v="4"/>
    <n v="33924"/>
  </r>
  <r>
    <x v="0"/>
    <x v="1"/>
    <x v="98"/>
    <x v="389"/>
    <x v="2"/>
    <x v="2"/>
    <n v="50"/>
    <x v="2"/>
    <s v="Confirmed"/>
    <n v="29"/>
    <x v="1"/>
    <x v="1"/>
    <n v="5"/>
    <n v="0"/>
    <n v="47080"/>
    <n v="4"/>
    <n v="23540"/>
  </r>
  <r>
    <x v="5"/>
    <x v="2"/>
    <x v="253"/>
    <x v="390"/>
    <x v="1"/>
    <x v="0"/>
    <n v="50"/>
    <x v="0"/>
    <s v="Confirmed"/>
    <n v="5"/>
    <x v="1"/>
    <x v="3"/>
    <n v="2"/>
    <n v="0"/>
    <n v="151224"/>
    <n v="8"/>
    <n v="37806"/>
  </r>
  <r>
    <x v="4"/>
    <x v="2"/>
    <x v="72"/>
    <x v="14"/>
    <x v="0"/>
    <x v="0"/>
    <n v="50"/>
    <x v="4"/>
    <s v="Cancelled"/>
    <n v="7"/>
    <x v="1"/>
    <x v="4"/>
    <n v="2"/>
    <n v="5"/>
    <n v="0"/>
    <n v="6"/>
    <n v="0"/>
  </r>
  <r>
    <x v="4"/>
    <x v="1"/>
    <x v="93"/>
    <x v="391"/>
    <x v="0"/>
    <x v="1"/>
    <n v="50"/>
    <x v="4"/>
    <s v="Confirmed"/>
    <n v="17"/>
    <x v="0"/>
    <x v="2"/>
    <n v="5"/>
    <n v="5"/>
    <n v="95862.6"/>
    <n v="6"/>
    <n v="33636"/>
  </r>
  <r>
    <x v="0"/>
    <x v="1"/>
    <x v="241"/>
    <x v="392"/>
    <x v="0"/>
    <x v="0"/>
    <n v="50"/>
    <x v="1"/>
    <s v="Confirmed"/>
    <n v="28"/>
    <x v="0"/>
    <x v="4"/>
    <n v="1"/>
    <n v="15"/>
    <n v="23750.7"/>
    <n v="2"/>
    <n v="27942"/>
  </r>
  <r>
    <x v="4"/>
    <x v="0"/>
    <x v="159"/>
    <x v="393"/>
    <x v="0"/>
    <x v="1"/>
    <n v="50"/>
    <x v="3"/>
    <s v="Confirmed"/>
    <n v="16"/>
    <x v="0"/>
    <x v="3"/>
    <n v="1"/>
    <n v="10"/>
    <n v="33115.5"/>
    <n v="10"/>
    <n v="7359"/>
  </r>
  <r>
    <x v="5"/>
    <x v="1"/>
    <x v="254"/>
    <x v="394"/>
    <x v="3"/>
    <x v="0"/>
    <n v="50"/>
    <x v="4"/>
    <s v="Confirmed"/>
    <n v="5"/>
    <x v="0"/>
    <x v="3"/>
    <n v="3"/>
    <n v="15"/>
    <n v="31199.25"/>
    <n v="6"/>
    <n v="12235"/>
  </r>
  <r>
    <x v="0"/>
    <x v="1"/>
    <x v="66"/>
    <x v="395"/>
    <x v="0"/>
    <x v="1"/>
    <n v="50"/>
    <x v="0"/>
    <s v="Confirmed"/>
    <n v="19"/>
    <x v="1"/>
    <x v="4"/>
    <n v="2"/>
    <n v="0"/>
    <n v="108816"/>
    <n v="8"/>
    <n v="27204"/>
  </r>
  <r>
    <x v="2"/>
    <x v="1"/>
    <x v="255"/>
    <x v="14"/>
    <x v="1"/>
    <x v="0"/>
    <n v="50"/>
    <x v="0"/>
    <s v="Cancelled"/>
    <n v="14"/>
    <x v="1"/>
    <x v="3"/>
    <n v="2"/>
    <n v="10"/>
    <n v="0"/>
    <n v="8"/>
    <n v="0"/>
  </r>
  <r>
    <x v="0"/>
    <x v="2"/>
    <x v="256"/>
    <x v="396"/>
    <x v="0"/>
    <x v="1"/>
    <n v="50"/>
    <x v="0"/>
    <s v="Confirmed"/>
    <n v="7"/>
    <x v="0"/>
    <x v="3"/>
    <n v="3"/>
    <n v="0"/>
    <n v="108392"/>
    <n v="8"/>
    <n v="27098"/>
  </r>
  <r>
    <x v="2"/>
    <x v="1"/>
    <x v="145"/>
    <x v="397"/>
    <x v="1"/>
    <x v="0"/>
    <n v="50"/>
    <x v="1"/>
    <s v="Confirmed"/>
    <n v="11"/>
    <x v="0"/>
    <x v="1"/>
    <n v="4"/>
    <n v="10"/>
    <n v="26967.599999999999"/>
    <n v="2"/>
    <n v="29964"/>
  </r>
  <r>
    <x v="3"/>
    <x v="2"/>
    <x v="88"/>
    <x v="398"/>
    <x v="1"/>
    <x v="0"/>
    <n v="50"/>
    <x v="0"/>
    <s v="Confirmed"/>
    <n v="30"/>
    <x v="1"/>
    <x v="1"/>
    <n v="3"/>
    <n v="5"/>
    <n v="38007.599999999999"/>
    <n v="8"/>
    <n v="10002"/>
  </r>
  <r>
    <x v="2"/>
    <x v="0"/>
    <x v="9"/>
    <x v="399"/>
    <x v="1"/>
    <x v="1"/>
    <n v="50"/>
    <x v="0"/>
    <s v="Confirmed"/>
    <n v="13"/>
    <x v="0"/>
    <x v="0"/>
    <n v="3"/>
    <n v="15"/>
    <n v="198954.4"/>
    <n v="8"/>
    <n v="58516"/>
  </r>
  <r>
    <x v="4"/>
    <x v="1"/>
    <x v="13"/>
    <x v="400"/>
    <x v="0"/>
    <x v="0"/>
    <n v="50"/>
    <x v="3"/>
    <s v="Confirmed"/>
    <n v="14"/>
    <x v="1"/>
    <x v="2"/>
    <n v="5"/>
    <n v="10"/>
    <n v="125955"/>
    <n v="10"/>
    <n v="27990"/>
  </r>
  <r>
    <x v="1"/>
    <x v="1"/>
    <x v="111"/>
    <x v="401"/>
    <x v="0"/>
    <x v="2"/>
    <n v="50"/>
    <x v="2"/>
    <s v="Confirmed"/>
    <n v="5"/>
    <x v="1"/>
    <x v="4"/>
    <n v="3"/>
    <n v="15"/>
    <n v="29529"/>
    <n v="4"/>
    <n v="17370"/>
  </r>
  <r>
    <x v="2"/>
    <x v="1"/>
    <x v="8"/>
    <x v="14"/>
    <x v="1"/>
    <x v="2"/>
    <n v="50"/>
    <x v="3"/>
    <s v="Cancelled"/>
    <n v="19"/>
    <x v="1"/>
    <x v="0"/>
    <n v="4"/>
    <n v="5"/>
    <n v="0"/>
    <n v="10"/>
    <n v="0"/>
  </r>
  <r>
    <x v="1"/>
    <x v="1"/>
    <x v="257"/>
    <x v="402"/>
    <x v="2"/>
    <x v="0"/>
    <n v="50"/>
    <x v="4"/>
    <s v="Confirmed"/>
    <n v="6"/>
    <x v="0"/>
    <x v="1"/>
    <n v="4"/>
    <n v="10"/>
    <n v="53659.8"/>
    <n v="6"/>
    <n v="19874"/>
  </r>
  <r>
    <x v="4"/>
    <x v="1"/>
    <x v="18"/>
    <x v="403"/>
    <x v="3"/>
    <x v="0"/>
    <n v="50"/>
    <x v="0"/>
    <s v="Confirmed"/>
    <n v="11"/>
    <x v="0"/>
    <x v="1"/>
    <n v="3"/>
    <n v="0"/>
    <n v="98416"/>
    <n v="8"/>
    <n v="24604"/>
  </r>
  <r>
    <x v="2"/>
    <x v="0"/>
    <x v="248"/>
    <x v="404"/>
    <x v="2"/>
    <x v="1"/>
    <n v="50"/>
    <x v="3"/>
    <s v="Confirmed"/>
    <n v="6"/>
    <x v="0"/>
    <x v="0"/>
    <n v="3"/>
    <n v="15"/>
    <n v="107015"/>
    <n v="10"/>
    <n v="25180"/>
  </r>
  <r>
    <x v="0"/>
    <x v="1"/>
    <x v="258"/>
    <x v="405"/>
    <x v="1"/>
    <x v="1"/>
    <n v="50"/>
    <x v="3"/>
    <s v="Confirmed"/>
    <n v="30"/>
    <x v="0"/>
    <x v="4"/>
    <n v="4"/>
    <n v="10"/>
    <n v="23116.5"/>
    <n v="10"/>
    <n v="5137"/>
  </r>
  <r>
    <x v="1"/>
    <x v="0"/>
    <x v="230"/>
    <x v="406"/>
    <x v="0"/>
    <x v="1"/>
    <n v="50"/>
    <x v="3"/>
    <s v="Confirmed"/>
    <n v="11"/>
    <x v="1"/>
    <x v="1"/>
    <n v="1"/>
    <n v="5"/>
    <n v="147402"/>
    <n v="10"/>
    <n v="31032"/>
  </r>
  <r>
    <x v="1"/>
    <x v="2"/>
    <x v="210"/>
    <x v="407"/>
    <x v="2"/>
    <x v="0"/>
    <n v="50"/>
    <x v="2"/>
    <s v="Confirmed"/>
    <n v="3"/>
    <x v="1"/>
    <x v="0"/>
    <n v="2"/>
    <n v="15"/>
    <n v="11903.4"/>
    <n v="4"/>
    <n v="7002"/>
  </r>
  <r>
    <x v="4"/>
    <x v="1"/>
    <x v="259"/>
    <x v="408"/>
    <x v="2"/>
    <x v="0"/>
    <n v="50"/>
    <x v="4"/>
    <s v="Confirmed"/>
    <n v="15"/>
    <x v="1"/>
    <x v="0"/>
    <n v="3"/>
    <n v="15"/>
    <n v="38193.9"/>
    <n v="6"/>
    <n v="14978"/>
  </r>
  <r>
    <x v="5"/>
    <x v="1"/>
    <x v="82"/>
    <x v="409"/>
    <x v="2"/>
    <x v="1"/>
    <n v="50"/>
    <x v="2"/>
    <s v="Confirmed"/>
    <n v="2"/>
    <x v="1"/>
    <x v="2"/>
    <n v="1"/>
    <n v="10"/>
    <n v="8742.6"/>
    <n v="4"/>
    <n v="4857"/>
  </r>
  <r>
    <x v="5"/>
    <x v="0"/>
    <x v="144"/>
    <x v="410"/>
    <x v="0"/>
    <x v="0"/>
    <n v="50"/>
    <x v="0"/>
    <s v="Confirmed"/>
    <n v="10"/>
    <x v="0"/>
    <x v="4"/>
    <n v="2"/>
    <n v="10"/>
    <n v="212702.4"/>
    <n v="8"/>
    <n v="59084"/>
  </r>
  <r>
    <x v="5"/>
    <x v="2"/>
    <x v="260"/>
    <x v="411"/>
    <x v="1"/>
    <x v="0"/>
    <n v="50"/>
    <x v="2"/>
    <s v="Confirmed"/>
    <n v="8"/>
    <x v="1"/>
    <x v="3"/>
    <n v="5"/>
    <n v="15"/>
    <n v="47741.1"/>
    <n v="4"/>
    <n v="28083"/>
  </r>
  <r>
    <x v="3"/>
    <x v="2"/>
    <x v="59"/>
    <x v="412"/>
    <x v="0"/>
    <x v="2"/>
    <n v="50"/>
    <x v="0"/>
    <s v="Confirmed"/>
    <n v="4"/>
    <x v="1"/>
    <x v="4"/>
    <n v="4"/>
    <n v="0"/>
    <n v="23684"/>
    <n v="8"/>
    <n v="5921"/>
  </r>
  <r>
    <x v="4"/>
    <x v="2"/>
    <x v="186"/>
    <x v="413"/>
    <x v="3"/>
    <x v="0"/>
    <n v="50"/>
    <x v="2"/>
    <s v="Confirmed"/>
    <n v="6"/>
    <x v="0"/>
    <x v="1"/>
    <n v="2"/>
    <n v="15"/>
    <n v="14664.2"/>
    <n v="4"/>
    <n v="8626"/>
  </r>
  <r>
    <x v="1"/>
    <x v="1"/>
    <x v="120"/>
    <x v="414"/>
    <x v="2"/>
    <x v="0"/>
    <n v="50"/>
    <x v="4"/>
    <s v="Confirmed"/>
    <n v="27"/>
    <x v="1"/>
    <x v="2"/>
    <n v="1"/>
    <n v="5"/>
    <n v="21229.65"/>
    <n v="6"/>
    <n v="7449"/>
  </r>
  <r>
    <x v="1"/>
    <x v="0"/>
    <x v="261"/>
    <x v="415"/>
    <x v="1"/>
    <x v="0"/>
    <n v="50"/>
    <x v="3"/>
    <s v="Confirmed"/>
    <n v="18"/>
    <x v="1"/>
    <x v="0"/>
    <n v="5"/>
    <n v="0"/>
    <n v="160900"/>
    <n v="10"/>
    <n v="32180"/>
  </r>
  <r>
    <x v="0"/>
    <x v="2"/>
    <x v="262"/>
    <x v="416"/>
    <x v="3"/>
    <x v="2"/>
    <n v="50"/>
    <x v="2"/>
    <s v="Confirmed"/>
    <n v="19"/>
    <x v="0"/>
    <x v="0"/>
    <n v="5"/>
    <n v="0"/>
    <n v="78840"/>
    <n v="4"/>
    <n v="39420"/>
  </r>
  <r>
    <x v="3"/>
    <x v="2"/>
    <x v="263"/>
    <x v="417"/>
    <x v="3"/>
    <x v="2"/>
    <n v="50"/>
    <x v="3"/>
    <s v="Confirmed"/>
    <n v="18"/>
    <x v="0"/>
    <x v="2"/>
    <n v="2"/>
    <n v="15"/>
    <n v="87788"/>
    <n v="10"/>
    <n v="20656"/>
  </r>
  <r>
    <x v="5"/>
    <x v="0"/>
    <x v="56"/>
    <x v="418"/>
    <x v="1"/>
    <x v="2"/>
    <n v="50"/>
    <x v="1"/>
    <s v="Confirmed"/>
    <n v="30"/>
    <x v="0"/>
    <x v="3"/>
    <n v="4"/>
    <n v="10"/>
    <n v="18459"/>
    <n v="2"/>
    <n v="20510"/>
  </r>
  <r>
    <x v="1"/>
    <x v="2"/>
    <x v="101"/>
    <x v="419"/>
    <x v="1"/>
    <x v="2"/>
    <n v="50"/>
    <x v="2"/>
    <s v="Confirmed"/>
    <n v="27"/>
    <x v="0"/>
    <x v="4"/>
    <n v="1"/>
    <n v="0"/>
    <n v="33864"/>
    <n v="4"/>
    <n v="16932"/>
  </r>
  <r>
    <x v="4"/>
    <x v="1"/>
    <x v="208"/>
    <x v="420"/>
    <x v="0"/>
    <x v="1"/>
    <n v="50"/>
    <x v="0"/>
    <s v="Confirmed"/>
    <n v="21"/>
    <x v="1"/>
    <x v="2"/>
    <n v="5"/>
    <n v="15"/>
    <n v="50789.2"/>
    <n v="8"/>
    <n v="14938"/>
  </r>
  <r>
    <x v="0"/>
    <x v="2"/>
    <x v="181"/>
    <x v="14"/>
    <x v="0"/>
    <x v="1"/>
    <n v="50"/>
    <x v="4"/>
    <s v="Cancelled"/>
    <n v="18"/>
    <x v="1"/>
    <x v="0"/>
    <n v="4"/>
    <n v="10"/>
    <n v="0"/>
    <n v="6"/>
    <n v="0"/>
  </r>
  <r>
    <x v="2"/>
    <x v="1"/>
    <x v="211"/>
    <x v="421"/>
    <x v="1"/>
    <x v="2"/>
    <n v="50"/>
    <x v="2"/>
    <s v="Confirmed"/>
    <n v="6"/>
    <x v="1"/>
    <x v="0"/>
    <n v="3"/>
    <n v="10"/>
    <n v="28566"/>
    <n v="4"/>
    <n v="15870"/>
  </r>
  <r>
    <x v="5"/>
    <x v="0"/>
    <x v="264"/>
    <x v="422"/>
    <x v="2"/>
    <x v="0"/>
    <n v="50"/>
    <x v="4"/>
    <s v="Confirmed"/>
    <n v="2"/>
    <x v="0"/>
    <x v="1"/>
    <n v="5"/>
    <n v="10"/>
    <n v="101695.5"/>
    <n v="6"/>
    <n v="37665"/>
  </r>
  <r>
    <x v="5"/>
    <x v="1"/>
    <x v="229"/>
    <x v="423"/>
    <x v="0"/>
    <x v="2"/>
    <n v="50"/>
    <x v="4"/>
    <s v="Confirmed"/>
    <n v="6"/>
    <x v="1"/>
    <x v="2"/>
    <n v="5"/>
    <n v="5"/>
    <n v="99544.8"/>
    <n v="6"/>
    <n v="34928"/>
  </r>
  <r>
    <x v="3"/>
    <x v="0"/>
    <x v="265"/>
    <x v="424"/>
    <x v="2"/>
    <x v="0"/>
    <n v="50"/>
    <x v="2"/>
    <s v="Confirmed"/>
    <n v="20"/>
    <x v="0"/>
    <x v="2"/>
    <n v="1"/>
    <n v="0"/>
    <n v="53272"/>
    <n v="4"/>
    <n v="26636"/>
  </r>
  <r>
    <x v="5"/>
    <x v="2"/>
    <x v="66"/>
    <x v="425"/>
    <x v="3"/>
    <x v="1"/>
    <n v="50"/>
    <x v="0"/>
    <s v="Confirmed"/>
    <n v="17"/>
    <x v="0"/>
    <x v="2"/>
    <n v="2"/>
    <n v="10"/>
    <n v="21391.200000000001"/>
    <n v="8"/>
    <n v="5942"/>
  </r>
  <r>
    <x v="0"/>
    <x v="1"/>
    <x v="266"/>
    <x v="426"/>
    <x v="0"/>
    <x v="1"/>
    <n v="50"/>
    <x v="3"/>
    <s v="Confirmed"/>
    <n v="5"/>
    <x v="0"/>
    <x v="0"/>
    <n v="4"/>
    <n v="10"/>
    <n v="50499"/>
    <n v="10"/>
    <n v="11222"/>
  </r>
  <r>
    <x v="3"/>
    <x v="2"/>
    <x v="69"/>
    <x v="427"/>
    <x v="0"/>
    <x v="0"/>
    <n v="50"/>
    <x v="2"/>
    <s v="Confirmed"/>
    <n v="26"/>
    <x v="0"/>
    <x v="1"/>
    <n v="5"/>
    <n v="15"/>
    <n v="100959.6"/>
    <n v="4"/>
    <n v="593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10" firstHeaderRow="1" firstDataRow="1" firstDataCol="1"/>
  <pivotFields count="17">
    <pivotField axis="axisRow" showAll="0">
      <items count="7">
        <item x="5"/>
        <item x="2"/>
        <item x="0"/>
        <item x="4"/>
        <item x="1"/>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
    <i>
      <x/>
    </i>
    <i>
      <x v="1"/>
    </i>
    <i>
      <x v="2"/>
    </i>
    <i>
      <x v="3"/>
    </i>
    <i>
      <x v="4"/>
    </i>
    <i>
      <x v="5"/>
    </i>
    <i t="grand">
      <x/>
    </i>
  </rowItems>
  <colItems count="1">
    <i/>
  </colItems>
  <dataFields count="1">
    <dataField name="Sum of Revenue" fld="3" baseField="0" baseItem="0" numFmtId="3"/>
  </dataFields>
  <chartFormats count="1">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G2:H7" firstHeaderRow="1" firstDataRow="1" firstDataCol="1"/>
  <pivotFields count="17">
    <pivotField showAll="0">
      <items count="7">
        <item x="5"/>
        <item x="2"/>
        <item x="0"/>
        <item x="4"/>
        <item x="1"/>
        <item x="3"/>
        <item t="default"/>
      </items>
    </pivotField>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5">
    <i>
      <x/>
    </i>
    <i>
      <x v="1"/>
    </i>
    <i>
      <x v="2"/>
    </i>
    <i>
      <x v="3"/>
    </i>
    <i t="grand">
      <x/>
    </i>
  </rowItems>
  <colItems count="1">
    <i/>
  </colItems>
  <dataFields count="1">
    <dataField name="Sum of Stay Duration (Night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2">
  <location ref="G26:I28" firstHeaderRow="0" firstDataRow="1" firstDataCol="1"/>
  <pivotFields count="17">
    <pivotField axis="axisRow" showAll="0">
      <items count="7">
        <item h="1" x="5"/>
        <item h="1" x="2"/>
        <item h="1" x="0"/>
        <item h="1" x="4"/>
        <item x="1"/>
        <item h="1" x="3"/>
        <item t="default"/>
      </items>
    </pivotField>
    <pivotField showAll="0">
      <items count="4">
        <item x="0"/>
        <item x="1"/>
        <item x="2"/>
        <item t="default"/>
      </items>
    </pivotField>
    <pivotField showAll="0"/>
    <pivotField showAll="0">
      <items count="429">
        <item h="1" x="14"/>
        <item h="1" x="154"/>
        <item h="1" x="47"/>
        <item x="206"/>
        <item h="1" x="325"/>
        <item h="1" x="186"/>
        <item h="1" x="68"/>
        <item h="1" x="21"/>
        <item h="1" x="123"/>
        <item h="1" x="349"/>
        <item h="1" x="30"/>
        <item h="1" x="409"/>
        <item h="1" x="175"/>
        <item h="1" x="248"/>
        <item h="1" x="19"/>
        <item h="1" x="268"/>
        <item h="1" x="63"/>
        <item h="1" x="215"/>
        <item h="1" x="108"/>
        <item h="1" x="372"/>
        <item h="1" x="317"/>
        <item h="1" x="197"/>
        <item h="1" x="40"/>
        <item h="1" x="346"/>
        <item h="1" x="261"/>
        <item h="1" x="38"/>
        <item h="1" x="210"/>
        <item h="1" x="127"/>
        <item h="1" x="57"/>
        <item h="1" x="407"/>
        <item h="1" x="153"/>
        <item h="1" x="59"/>
        <item h="1" x="314"/>
        <item h="1" x="307"/>
        <item h="1" x="178"/>
        <item h="1" x="227"/>
        <item h="1" x="142"/>
        <item h="1" x="351"/>
        <item h="1" x="212"/>
        <item h="1" x="69"/>
        <item h="1" x="98"/>
        <item h="1" x="265"/>
        <item h="1" x="60"/>
        <item h="1" x="387"/>
        <item h="1" x="15"/>
        <item h="1" x="383"/>
        <item h="1" x="312"/>
        <item h="1" x="413"/>
        <item h="1" x="257"/>
        <item h="1" x="164"/>
        <item h="1" x="180"/>
        <item h="1" x="222"/>
        <item h="1" x="375"/>
        <item h="1" x="287"/>
        <item h="1" x="298"/>
        <item h="1" x="354"/>
        <item h="1" x="225"/>
        <item h="1" x="144"/>
        <item h="1" x="230"/>
        <item h="1" x="41"/>
        <item h="1" x="24"/>
        <item h="1" x="33"/>
        <item h="1" x="301"/>
        <item h="1" x="418"/>
        <item h="1" x="318"/>
        <item h="1" x="89"/>
        <item h="1" x="71"/>
        <item h="1" x="357"/>
        <item h="1" x="64"/>
        <item h="1" x="359"/>
        <item h="1" x="130"/>
        <item h="1" x="126"/>
        <item h="1" x="53"/>
        <item h="1" x="309"/>
        <item h="1" x="18"/>
        <item h="1" x="414"/>
        <item h="1" x="343"/>
        <item h="1" x="83"/>
        <item h="1" x="361"/>
        <item h="1" x="143"/>
        <item h="1" x="162"/>
        <item h="1" x="412"/>
        <item h="1" x="305"/>
        <item h="1" x="425"/>
        <item h="1" x="255"/>
        <item h="1" x="152"/>
        <item h="1" x="296"/>
        <item h="1" x="340"/>
        <item h="1" x="313"/>
        <item h="1" x="136"/>
        <item h="1" x="379"/>
        <item h="1" x="44"/>
        <item h="1" x="258"/>
        <item h="1" x="366"/>
        <item h="1" x="405"/>
        <item h="1" x="263"/>
        <item h="1" x="216"/>
        <item h="1" x="172"/>
        <item h="1" x="138"/>
        <item h="1" x="195"/>
        <item h="1" x="181"/>
        <item h="1" x="376"/>
        <item h="1" x="22"/>
        <item h="1" x="299"/>
        <item h="1" x="5"/>
        <item h="1" x="278"/>
        <item h="1" x="104"/>
        <item h="1" x="303"/>
        <item h="1" x="276"/>
        <item h="1" x="73"/>
        <item h="1" x="52"/>
        <item h="1" x="51"/>
        <item h="1" x="183"/>
        <item h="1" x="371"/>
        <item h="1" x="392"/>
        <item h="1" x="55"/>
        <item h="1" x="221"/>
        <item h="1" x="302"/>
        <item h="1" x="378"/>
        <item h="1" x="124"/>
        <item h="1" x="308"/>
        <item h="1" x="82"/>
        <item h="1" x="348"/>
        <item h="1" x="31"/>
        <item h="1" x="397"/>
        <item h="1" x="355"/>
        <item h="1" x="213"/>
        <item h="1" x="311"/>
        <item h="1" x="150"/>
        <item h="1" x="155"/>
        <item h="1" x="105"/>
        <item h="1" x="93"/>
        <item h="1" x="335"/>
        <item h="1" x="156"/>
        <item h="1" x="421"/>
        <item h="1" x="17"/>
        <item h="1" x="385"/>
        <item h="1" x="253"/>
        <item h="1" x="289"/>
        <item h="1" x="149"/>
        <item h="1" x="419"/>
        <item h="1" x="315"/>
        <item h="1" x="294"/>
        <item h="1" x="260"/>
        <item h="1" x="401"/>
        <item h="1" x="97"/>
        <item h="1" x="237"/>
        <item h="1" x="54"/>
        <item h="1" x="28"/>
        <item h="1" x="337"/>
        <item h="1" x="61"/>
        <item h="1" x="114"/>
        <item h="1" x="241"/>
        <item h="1" x="46"/>
        <item h="1" x="394"/>
        <item h="1" x="393"/>
        <item h="1" x="262"/>
        <item h="1" x="190"/>
        <item h="1" x="322"/>
        <item h="1" x="200"/>
        <item h="1" x="174"/>
        <item h="1" x="368"/>
        <item h="1" x="274"/>
        <item h="1" x="78"/>
        <item h="1" x="342"/>
        <item h="1" x="103"/>
        <item h="1" x="129"/>
        <item h="1" x="110"/>
        <item h="1" x="45"/>
        <item h="1" x="72"/>
        <item h="1" x="277"/>
        <item h="1" x="209"/>
        <item h="1" x="398"/>
        <item h="1" x="9"/>
        <item h="1" x="134"/>
        <item h="1" x="151"/>
        <item h="1" x="269"/>
        <item h="1" x="291"/>
        <item h="1" x="81"/>
        <item h="1" x="290"/>
        <item h="1" x="363"/>
        <item h="1" x="158"/>
        <item h="1" x="39"/>
        <item h="1" x="163"/>
        <item h="1" x="214"/>
        <item h="1" x="146"/>
        <item h="1" x="109"/>
        <item h="1" x="90"/>
        <item h="1" x="10"/>
        <item h="1" x="273"/>
        <item h="1" x="121"/>
        <item h="1" x="1"/>
        <item h="1" x="194"/>
        <item h="1" x="334"/>
        <item h="1" x="408"/>
        <item h="1" x="193"/>
        <item h="1" x="32"/>
        <item h="1" x="377"/>
        <item h="1" x="389"/>
        <item h="1" x="177"/>
        <item h="1" x="99"/>
        <item h="1" x="272"/>
        <item h="1" x="235"/>
        <item h="1" x="2"/>
        <item h="1" x="111"/>
        <item h="1" x="332"/>
        <item h="1" x="125"/>
        <item h="1" x="34"/>
        <item h="1" x="356"/>
        <item h="1" x="170"/>
        <item h="1" x="324"/>
        <item h="1" x="270"/>
        <item h="1" x="118"/>
        <item h="1" x="386"/>
        <item h="1" x="284"/>
        <item h="1" x="13"/>
        <item h="1" x="424"/>
        <item h="1" x="245"/>
        <item h="1" x="297"/>
        <item h="1" x="6"/>
        <item h="1" x="208"/>
        <item h="1" x="207"/>
        <item h="1" x="218"/>
        <item h="1" x="12"/>
        <item h="1" x="66"/>
        <item h="1" x="426"/>
        <item h="1" x="37"/>
        <item h="1" x="411"/>
        <item h="1" x="107"/>
        <item h="1" x="382"/>
        <item h="1" x="50"/>
        <item h="1" x="264"/>
        <item h="1" x="281"/>
        <item h="1" x="189"/>
        <item h="1" x="48"/>
        <item h="1" x="333"/>
        <item h="1" x="229"/>
        <item h="1" x="367"/>
        <item h="1" x="271"/>
        <item h="1" x="70"/>
        <item h="1" x="320"/>
        <item h="1" x="135"/>
        <item h="1" x="402"/>
        <item h="1" x="420"/>
        <item h="1" x="92"/>
        <item h="1" x="179"/>
        <item h="1" x="145"/>
        <item h="1" x="316"/>
        <item h="1" x="347"/>
        <item h="1" x="148"/>
        <item h="1" x="169"/>
        <item h="1" x="350"/>
        <item h="1" x="119"/>
        <item h="1" x="364"/>
        <item h="1" x="226"/>
        <item h="1" x="80"/>
        <item h="1" x="203"/>
        <item h="1" x="132"/>
        <item h="1" x="95"/>
        <item h="1" x="141"/>
        <item h="1" x="388"/>
        <item h="1" x="236"/>
        <item h="1" x="239"/>
        <item h="1" x="220"/>
        <item h="1" x="365"/>
        <item h="1" x="112"/>
        <item h="1" x="288"/>
        <item h="1" x="345"/>
        <item h="1" x="251"/>
        <item h="1" x="373"/>
        <item h="1" x="102"/>
        <item h="1" x="101"/>
        <item h="1" x="43"/>
        <item h="1" x="36"/>
        <item h="1" x="336"/>
        <item h="1" x="67"/>
        <item h="1" x="319"/>
        <item h="1" x="77"/>
        <item h="1" x="84"/>
        <item h="1" x="381"/>
        <item h="1" x="201"/>
        <item h="1" x="416"/>
        <item h="1" x="330"/>
        <item h="1" x="327"/>
        <item h="1" x="157"/>
        <item h="1" x="171"/>
        <item h="1" x="140"/>
        <item h="1" x="326"/>
        <item h="1" x="49"/>
        <item h="1" x="249"/>
        <item h="1" x="211"/>
        <item h="1" x="285"/>
        <item h="1" x="370"/>
        <item h="1" x="204"/>
        <item h="1" x="106"/>
        <item h="1" x="282"/>
        <item h="1" x="117"/>
        <item h="1" x="279"/>
        <item h="1" x="202"/>
        <item h="1" x="233"/>
        <item h="1" x="228"/>
        <item h="1" x="231"/>
        <item h="1" x="147"/>
        <item h="1" x="338"/>
        <item h="1" x="243"/>
        <item h="1" x="128"/>
        <item h="1" x="198"/>
        <item h="1" x="100"/>
        <item h="1" x="29"/>
        <item h="1" x="267"/>
        <item h="1" x="0"/>
        <item h="1" x="331"/>
        <item h="1" x="242"/>
        <item h="1" x="384"/>
        <item h="1" x="120"/>
        <item h="1" x="165"/>
        <item h="1" x="87"/>
        <item h="1" x="286"/>
        <item h="1" x="403"/>
        <item h="1" x="219"/>
        <item h="1" x="7"/>
        <item h="1" x="56"/>
        <item h="1" x="259"/>
        <item h="1" x="391"/>
        <item h="1" x="166"/>
        <item h="1" x="280"/>
        <item h="1" x="417"/>
        <item h="1" x="423"/>
        <item h="1" x="3"/>
        <item h="1" x="380"/>
        <item h="1" x="217"/>
        <item h="1" x="292"/>
        <item h="1" x="244"/>
        <item h="1" x="94"/>
        <item h="1" x="116"/>
        <item h="1" x="396"/>
        <item h="1" x="395"/>
        <item h="1" x="358"/>
        <item h="1" x="353"/>
        <item h="1" x="161"/>
        <item h="1" x="133"/>
        <item h="1" x="188"/>
        <item h="1" x="422"/>
        <item h="1" x="300"/>
        <item h="1" x="58"/>
        <item h="1" x="266"/>
        <item h="1" x="27"/>
        <item h="1" x="184"/>
        <item h="1" x="234"/>
        <item h="1" x="254"/>
        <item h="1" x="362"/>
        <item h="1" x="323"/>
        <item h="1" x="427"/>
        <item h="1" x="42"/>
        <item h="1" x="91"/>
        <item h="1" x="76"/>
        <item h="1" x="176"/>
        <item h="1" x="196"/>
        <item h="1" x="122"/>
        <item h="1" x="26"/>
        <item h="1" x="185"/>
        <item h="1" x="404"/>
        <item h="1" x="137"/>
        <item h="1" x="192"/>
        <item h="1" x="246"/>
        <item h="1" x="283"/>
        <item h="1" x="329"/>
        <item h="1" x="62"/>
        <item h="1" x="306"/>
        <item h="1" x="96"/>
        <item h="1" x="224"/>
        <item h="1" x="75"/>
        <item h="1" x="223"/>
        <item h="1" x="139"/>
        <item h="1" x="187"/>
        <item h="1" x="79"/>
        <item h="1" x="295"/>
        <item h="1" x="293"/>
        <item h="1" x="400"/>
        <item h="1" x="16"/>
        <item h="1" x="304"/>
        <item h="1" x="374"/>
        <item h="1" x="321"/>
        <item h="1" x="352"/>
        <item h="1" x="182"/>
        <item h="1" x="240"/>
        <item h="1" x="232"/>
        <item h="1" x="247"/>
        <item h="1" x="390"/>
        <item h="1" x="310"/>
        <item h="1" x="406"/>
        <item h="1" x="159"/>
        <item h="1" x="238"/>
        <item h="1" x="23"/>
        <item h="1" x="113"/>
        <item h="1" x="415"/>
        <item h="1" x="167"/>
        <item h="1" x="250"/>
        <item h="1" x="85"/>
        <item h="1" x="86"/>
        <item h="1" x="275"/>
        <item h="1" x="160"/>
        <item h="1" x="74"/>
        <item h="1" x="173"/>
        <item h="1" x="115"/>
        <item h="1" x="252"/>
        <item h="1" x="20"/>
        <item h="1" x="88"/>
        <item h="1" x="4"/>
        <item h="1" x="369"/>
        <item h="1" x="256"/>
        <item h="1" x="339"/>
        <item h="1" x="131"/>
        <item h="1" x="25"/>
        <item h="1" x="191"/>
        <item h="1" x="35"/>
        <item h="1" x="205"/>
        <item h="1" x="344"/>
        <item h="1" x="399"/>
        <item h="1" x="410"/>
        <item h="1" x="341"/>
        <item h="1" x="11"/>
        <item h="1" x="168"/>
        <item h="1" x="360"/>
        <item h="1" x="199"/>
        <item h="1" x="328"/>
        <item h="1" x="8"/>
        <item h="1" x="65"/>
        <item t="default"/>
      </items>
    </pivotField>
    <pivotField showAll="0"/>
    <pivotField showAll="0"/>
    <pivotField dataField="1" showAll="0"/>
    <pivotField dataField="1" showAll="0"/>
    <pivotField showAll="0"/>
    <pivotField showAll="0"/>
    <pivotField showAll="0"/>
    <pivotField showAll="0">
      <items count="6">
        <item x="1"/>
        <item x="4"/>
        <item x="3"/>
        <item x="0"/>
        <item x="2"/>
        <item t="default"/>
      </items>
    </pivotField>
    <pivotField showAll="0"/>
    <pivotField showAll="0"/>
    <pivotField showAll="0"/>
    <pivotField showAll="0"/>
    <pivotField showAll="0"/>
  </pivotFields>
  <rowFields count="1">
    <field x="0"/>
  </rowFields>
  <rowItems count="2">
    <i>
      <x v="4"/>
    </i>
    <i t="grand">
      <x/>
    </i>
  </rowItems>
  <colFields count="1">
    <field x="-2"/>
  </colFields>
  <colItems count="2">
    <i>
      <x/>
    </i>
    <i i="1">
      <x v="1"/>
    </i>
  </colItems>
  <dataFields count="2">
    <dataField name="Sum of Rooms Booked" fld="7" baseField="0" baseItem="0"/>
    <dataField name="Sum of Rooms Available" fld="6" baseField="0"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G15:K23" firstHeaderRow="1" firstDataRow="2" firstDataCol="1"/>
  <pivotFields count="17">
    <pivotField axis="axisRow" showAll="0">
      <items count="7">
        <item x="5"/>
        <item x="2"/>
        <item x="0"/>
        <item x="4"/>
        <item x="1"/>
        <item x="3"/>
        <item t="default"/>
      </items>
    </pivotField>
    <pivotField showAll="0"/>
    <pivotField showAll="0"/>
    <pivotField dataField="1"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
    <i>
      <x/>
    </i>
    <i>
      <x v="1"/>
    </i>
    <i>
      <x v="2"/>
    </i>
    <i>
      <x v="3"/>
    </i>
    <i>
      <x v="4"/>
    </i>
    <i>
      <x v="5"/>
    </i>
    <i t="grand">
      <x/>
    </i>
  </rowItems>
  <colFields count="1">
    <field x="5"/>
  </colFields>
  <colItems count="4">
    <i>
      <x/>
    </i>
    <i>
      <x v="1"/>
    </i>
    <i>
      <x v="2"/>
    </i>
    <i t="grand">
      <x/>
    </i>
  </colItems>
  <dataFields count="1">
    <dataField name="Sum of Revenue" fld="3" baseField="0" baseItem="0" numFmtId="3"/>
  </dataFields>
  <chartFormats count="6">
    <chartFormat chart="53" format="0" series="1">
      <pivotArea type="data" outline="0" fieldPosition="0">
        <references count="2">
          <reference field="4294967294" count="1" selected="0">
            <x v="0"/>
          </reference>
          <reference field="5" count="1" selected="0">
            <x v="0"/>
          </reference>
        </references>
      </pivotArea>
    </chartFormat>
    <chartFormat chart="53" format="1" series="1">
      <pivotArea type="data" outline="0" fieldPosition="0">
        <references count="2">
          <reference field="4294967294" count="1" selected="0">
            <x v="0"/>
          </reference>
          <reference field="5" count="1" selected="0">
            <x v="1"/>
          </reference>
        </references>
      </pivotArea>
    </chartFormat>
    <chartFormat chart="53" format="2" series="1">
      <pivotArea type="data" outline="0" fieldPosition="0">
        <references count="2">
          <reference field="4294967294" count="1" selected="0">
            <x v="0"/>
          </reference>
          <reference field="5" count="1" selected="0">
            <x v="2"/>
          </reference>
        </references>
      </pivotArea>
    </chartFormat>
    <chartFormat chart="55" format="6" series="1">
      <pivotArea type="data" outline="0" fieldPosition="0">
        <references count="2">
          <reference field="4294967294" count="1" selected="0">
            <x v="0"/>
          </reference>
          <reference field="5" count="1" selected="0">
            <x v="0"/>
          </reference>
        </references>
      </pivotArea>
    </chartFormat>
    <chartFormat chart="55" format="7" series="1">
      <pivotArea type="data" outline="0" fieldPosition="0">
        <references count="2">
          <reference field="4294967294" count="1" selected="0">
            <x v="0"/>
          </reference>
          <reference field="5" count="1" selected="0">
            <x v="1"/>
          </reference>
        </references>
      </pivotArea>
    </chartFormat>
    <chartFormat chart="5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5">
  <location ref="E31:G37" firstHeaderRow="0" firstDataRow="1" firstDataCol="1"/>
  <pivotFields count="17">
    <pivotField showAll="0">
      <items count="7">
        <item h="1" x="5"/>
        <item h="1" x="2"/>
        <item h="1" x="0"/>
        <item h="1" x="4"/>
        <item x="1"/>
        <item h="1" x="3"/>
        <item t="default"/>
      </items>
    </pivotField>
    <pivotField showAll="0">
      <items count="4">
        <item x="0"/>
        <item x="1"/>
        <item x="2"/>
        <item t="default"/>
      </items>
    </pivotField>
    <pivotField showAll="0"/>
    <pivotField dataField="1" showAll="0"/>
    <pivotField showAll="0"/>
    <pivotField showAll="0"/>
    <pivotField showAll="0"/>
    <pivotField showAll="0"/>
    <pivotField showAll="0"/>
    <pivotField showAll="0"/>
    <pivotField showAll="0"/>
    <pivotField axis="axisRow" showAll="0">
      <items count="6">
        <item x="1"/>
        <item x="4"/>
        <item x="3"/>
        <item x="0"/>
        <item x="2"/>
        <item t="default"/>
      </items>
    </pivotField>
    <pivotField showAll="0"/>
    <pivotField showAll="0"/>
    <pivotField dataField="1" showAll="0"/>
    <pivotField showAll="0"/>
    <pivotField showAll="0"/>
  </pivotFields>
  <rowFields count="1">
    <field x="11"/>
  </rowFields>
  <rowItems count="6">
    <i>
      <x/>
    </i>
    <i>
      <x v="1"/>
    </i>
    <i>
      <x v="2"/>
    </i>
    <i>
      <x v="3"/>
    </i>
    <i>
      <x v="4"/>
    </i>
    <i t="grand">
      <x/>
    </i>
  </rowItems>
  <colFields count="1">
    <field x="-2"/>
  </colFields>
  <colItems count="2">
    <i>
      <x/>
    </i>
    <i i="1">
      <x v="1"/>
    </i>
  </colItems>
  <dataFields count="2">
    <dataField name="Sum of Revenue" fld="3" baseField="0" baseItem="0"/>
    <dataField name="Sum of Net Revenue" fld="14"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0">
  <location ref="A15:B19" firstHeaderRow="1" firstDataRow="1" firstDataCol="1"/>
  <pivotFields count="17">
    <pivotField showAll="0">
      <items count="7">
        <item h="1" x="5"/>
        <item h="1" x="2"/>
        <item h="1" x="0"/>
        <item h="1" x="4"/>
        <item x="1"/>
        <item h="1" x="3"/>
        <item t="default"/>
      </items>
    </pivotField>
    <pivotField axis="axisRow" showAll="0">
      <items count="4">
        <item x="0"/>
        <item x="1"/>
        <item x="2"/>
        <item t="default"/>
      </items>
    </pivotField>
    <pivotField showAll="0"/>
    <pivotField dataField="1" showAll="0"/>
    <pivotField showAll="0"/>
    <pivotField showAll="0"/>
    <pivotField showAll="0"/>
    <pivotField showAll="0"/>
    <pivotField showAll="0"/>
    <pivotField showAll="0"/>
    <pivotField showAll="0"/>
    <pivotField showAll="0">
      <items count="6">
        <item x="1"/>
        <item x="4"/>
        <item x="3"/>
        <item x="0"/>
        <item x="2"/>
        <item t="default"/>
      </items>
    </pivotField>
    <pivotField showAll="0"/>
    <pivotField showAll="0"/>
    <pivotField showAll="0"/>
    <pivotField showAll="0"/>
    <pivotField showAll="0"/>
  </pivotFields>
  <rowFields count="1">
    <field x="1"/>
  </rowFields>
  <rowItems count="4">
    <i>
      <x/>
    </i>
    <i>
      <x v="1"/>
    </i>
    <i>
      <x v="2"/>
    </i>
    <i t="grand">
      <x/>
    </i>
  </rowItems>
  <colItems count="1">
    <i/>
  </colItems>
  <dataFields count="1">
    <dataField name="Sum of Revenue" fld="3"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49">
  <location ref="D4:E9" firstHeaderRow="1" firstDataRow="1" firstDataCol="1" rowPageCount="2" colPageCount="1"/>
  <pivotFields count="17">
    <pivotField axis="axisPage" showAll="0">
      <items count="7">
        <item x="5"/>
        <item x="2"/>
        <item x="0"/>
        <item x="4"/>
        <item x="1"/>
        <item x="3"/>
        <item t="default"/>
      </items>
    </pivotField>
    <pivotField showAll="0"/>
    <pivotField showAll="0"/>
    <pivotField showAll="0"/>
    <pivotField axis="axisRow" showAll="0">
      <items count="5">
        <item x="3"/>
        <item x="1"/>
        <item x="0"/>
        <item x="2"/>
        <item t="default"/>
      </items>
    </pivotField>
    <pivotField axis="axisPage" showAll="0">
      <items count="4">
        <item x="0"/>
        <item x="1"/>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pageFields count="2">
    <pageField fld="0" hier="-1"/>
    <pageField fld="5" item="1" hier="-1"/>
  </pageFields>
  <dataFields count="1">
    <dataField name="Sum of Rooms Booked" fld="7" baseField="0" baseItem="0"/>
  </dataFields>
  <chartFormats count="11">
    <chartFormat chart="40"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1" format="2">
      <pivotArea type="data" outline="0" fieldPosition="0">
        <references count="2">
          <reference field="4294967294" count="1" selected="0">
            <x v="0"/>
          </reference>
          <reference field="4" count="1" selected="0">
            <x v="0"/>
          </reference>
        </references>
      </pivotArea>
    </chartFormat>
    <chartFormat chart="41" format="3">
      <pivotArea type="data" outline="0" fieldPosition="0">
        <references count="2">
          <reference field="4294967294" count="1" selected="0">
            <x v="0"/>
          </reference>
          <reference field="4" count="1" selected="0">
            <x v="1"/>
          </reference>
        </references>
      </pivotArea>
    </chartFormat>
    <chartFormat chart="41" format="4">
      <pivotArea type="data" outline="0" fieldPosition="0">
        <references count="2">
          <reference field="4294967294" count="1" selected="0">
            <x v="0"/>
          </reference>
          <reference field="4" count="1" selected="0">
            <x v="2"/>
          </reference>
        </references>
      </pivotArea>
    </chartFormat>
    <chartFormat chart="41" format="5">
      <pivotArea type="data" outline="0" fieldPosition="0">
        <references count="2">
          <reference field="4294967294" count="1" selected="0">
            <x v="0"/>
          </reference>
          <reference field="4" count="1" selected="0">
            <x v="3"/>
          </reference>
        </references>
      </pivotArea>
    </chartFormat>
    <chartFormat chart="42" format="6" series="1">
      <pivotArea type="data" outline="0" fieldPosition="0">
        <references count="1">
          <reference field="4294967294" count="1" selected="0">
            <x v="0"/>
          </reference>
        </references>
      </pivotArea>
    </chartFormat>
    <chartFormat chart="42" format="7">
      <pivotArea type="data" outline="0" fieldPosition="0">
        <references count="2">
          <reference field="4294967294" count="1" selected="0">
            <x v="0"/>
          </reference>
          <reference field="4" count="1" selected="0">
            <x v="0"/>
          </reference>
        </references>
      </pivotArea>
    </chartFormat>
    <chartFormat chart="42" format="8">
      <pivotArea type="data" outline="0" fieldPosition="0">
        <references count="2">
          <reference field="4294967294" count="1" selected="0">
            <x v="0"/>
          </reference>
          <reference field="4" count="1" selected="0">
            <x v="1"/>
          </reference>
        </references>
      </pivotArea>
    </chartFormat>
    <chartFormat chart="42" format="9">
      <pivotArea type="data" outline="0" fieldPosition="0">
        <references count="2">
          <reference field="4294967294" count="1" selected="0">
            <x v="0"/>
          </reference>
          <reference field="4" count="1" selected="0">
            <x v="2"/>
          </reference>
        </references>
      </pivotArea>
    </chartFormat>
    <chartFormat chart="4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otel_Name" sourceName="Hotel Name">
  <pivotTables>
    <pivotTable tabId="7" name="PivotTable2"/>
    <pivotTable tabId="7" name="PivotTable8"/>
    <pivotTable tabId="7" name="PivotTable9"/>
  </pivotTables>
  <data>
    <tabular pivotCacheId="51326247">
      <items count="6">
        <i x="5"/>
        <i x="2"/>
        <i x="0"/>
        <i x="4"/>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7" name="PivotTable4"/>
  </pivotTables>
  <data>
    <tabular pivotCacheId="51326247">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tel Name 1" cache="Slicer_Hotel_Name" caption="Hotel Name" rowHeight="234950"/>
  <slicer name="Season"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Hotel Name" cache="Slicer_Hotel_Name" caption="Hotel Name" rowHeight="234950"/>
</slicers>
</file>

<file path=xl/tables/table1.xml><?xml version="1.0" encoding="utf-8"?>
<table xmlns="http://schemas.openxmlformats.org/spreadsheetml/2006/main" id="1" name="Table1" displayName="Table1" ref="A1:Q501" totalsRowShown="0" headerRowDxfId="18" dataDxfId="17">
  <autoFilter ref="A1:Q501"/>
  <tableColumns count="17">
    <tableColumn id="1" name="Hotel Name" dataDxfId="16"/>
    <tableColumn id="2" name="Room Type" dataDxfId="15"/>
    <tableColumn id="3" name="Booking Date" dataDxfId="14"/>
    <tableColumn id="4" name="Revenue" dataDxfId="13"/>
    <tableColumn id="5" name="Customer Type" dataDxfId="12"/>
    <tableColumn id="6" name="Season" dataDxfId="11"/>
    <tableColumn id="7" name="Rooms Available" dataDxfId="10"/>
    <tableColumn id="8" name="Rooms Booked" dataDxfId="9"/>
    <tableColumn id="9" name="Booking Status" dataDxfId="8"/>
    <tableColumn id="10" name="Booking Lead Time (Days)" dataDxfId="7"/>
    <tableColumn id="11" name="Repeat Guest" dataDxfId="6"/>
    <tableColumn id="12" name="Payment Mode" dataDxfId="5"/>
    <tableColumn id="13" name="Stay Duration (Nights)" dataDxfId="4"/>
    <tableColumn id="14" name="Discount (%)" dataDxfId="3"/>
    <tableColumn id="15" name="Net Revenue" dataDxfId="2"/>
    <tableColumn id="16" name="Occupancy Rate" dataDxfId="1">
      <calculatedColumnFormula>Table1[[#This Row],[Rooms Booked]]/Table1[[#This Row],[Rooms Available]]*100</calculatedColumnFormula>
    </tableColumn>
    <tableColumn id="17" name="Average Revenue" dataDxfId="0">
      <calculatedColumnFormula>Table1[[#This Row],[Revenue]]/Table1[[#This Row],[Rooms Booked]]</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zoomScale="88" workbookViewId="0">
      <selection activeCell="Q28" sqref="Q28"/>
    </sheetView>
  </sheetViews>
  <sheetFormatPr defaultRowHeight="15" x14ac:dyDescent="0.25"/>
  <sheetData>
    <row r="1" spans="1:19" ht="15" customHeight="1" x14ac:dyDescent="0.25"/>
    <row r="2" spans="1:19" ht="15" customHeight="1" x14ac:dyDescent="0.25">
      <c r="A2" s="9" t="s">
        <v>318</v>
      </c>
      <c r="B2" s="9"/>
      <c r="C2" s="9"/>
      <c r="D2" s="9"/>
      <c r="E2" s="9"/>
      <c r="F2" s="9"/>
      <c r="G2" s="9"/>
      <c r="H2" s="9"/>
      <c r="I2" s="9"/>
      <c r="J2" s="9"/>
      <c r="K2" s="9"/>
      <c r="L2" s="9"/>
      <c r="M2" s="9"/>
      <c r="N2" s="9"/>
      <c r="O2" s="9"/>
      <c r="P2" s="9"/>
      <c r="Q2" s="9"/>
      <c r="R2" s="9"/>
      <c r="S2" s="9"/>
    </row>
    <row r="3" spans="1:19" ht="15" customHeight="1" x14ac:dyDescent="0.25">
      <c r="A3" s="9"/>
      <c r="B3" s="9"/>
      <c r="C3" s="9"/>
      <c r="D3" s="9"/>
      <c r="E3" s="9"/>
      <c r="F3" s="9"/>
      <c r="G3" s="9"/>
      <c r="H3" s="9"/>
      <c r="I3" s="9"/>
      <c r="J3" s="9"/>
      <c r="K3" s="9"/>
      <c r="L3" s="9"/>
      <c r="M3" s="9"/>
      <c r="N3" s="9"/>
      <c r="O3" s="9"/>
      <c r="P3" s="9"/>
      <c r="Q3" s="9"/>
      <c r="R3" s="9"/>
      <c r="S3" s="9"/>
    </row>
    <row r="4" spans="1:19" ht="15" customHeight="1" x14ac:dyDescent="0.55000000000000004">
      <c r="B4" s="8"/>
      <c r="C4" s="8"/>
      <c r="D4" s="8"/>
      <c r="E4" s="8"/>
      <c r="F4" s="8"/>
      <c r="G4" s="8"/>
      <c r="H4" s="8"/>
      <c r="I4" s="8"/>
      <c r="J4" s="8"/>
      <c r="K4" s="8"/>
      <c r="L4" s="8"/>
      <c r="M4" s="8"/>
      <c r="N4" s="8"/>
      <c r="O4" s="8"/>
      <c r="P4" s="8"/>
      <c r="Q4" s="8"/>
      <c r="R4" s="8"/>
    </row>
  </sheetData>
  <mergeCells count="1">
    <mergeCell ref="A2: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abSelected="1" workbookViewId="0">
      <selection activeCell="F14" sqref="F14"/>
    </sheetView>
  </sheetViews>
  <sheetFormatPr defaultRowHeight="15" x14ac:dyDescent="0.25"/>
  <cols>
    <col min="1" max="1" width="13.140625" bestFit="1" customWidth="1"/>
    <col min="2" max="2" width="15.5703125" bestFit="1" customWidth="1"/>
    <col min="4" max="4" width="13.140625" bestFit="1" customWidth="1"/>
    <col min="5" max="5" width="21" customWidth="1"/>
    <col min="6" max="6" width="15.5703125" bestFit="1" customWidth="1"/>
    <col min="7" max="7" width="19.42578125" customWidth="1"/>
    <col min="8" max="8" width="21" bestFit="1" customWidth="1"/>
    <col min="9" max="9" width="22.7109375" bestFit="1" customWidth="1"/>
    <col min="10" max="10" width="9.140625" bestFit="1" customWidth="1"/>
    <col min="11" max="11" width="10.7109375" bestFit="1" customWidth="1"/>
  </cols>
  <sheetData>
    <row r="1" spans="1:11" x14ac:dyDescent="0.25">
      <c r="D1" s="2" t="s">
        <v>0</v>
      </c>
      <c r="E1" t="s">
        <v>312</v>
      </c>
    </row>
    <row r="2" spans="1:11" x14ac:dyDescent="0.25">
      <c r="D2" s="2" t="s">
        <v>5</v>
      </c>
      <c r="E2" t="s">
        <v>296</v>
      </c>
      <c r="G2" s="2" t="s">
        <v>308</v>
      </c>
      <c r="H2" t="s">
        <v>315</v>
      </c>
    </row>
    <row r="3" spans="1:11" x14ac:dyDescent="0.25">
      <c r="A3" s="2" t="s">
        <v>308</v>
      </c>
      <c r="B3" t="s">
        <v>307</v>
      </c>
      <c r="G3" s="3" t="s">
        <v>294</v>
      </c>
      <c r="H3">
        <v>344</v>
      </c>
    </row>
    <row r="4" spans="1:11" x14ac:dyDescent="0.25">
      <c r="A4" s="3" t="s">
        <v>20</v>
      </c>
      <c r="B4" s="6">
        <v>3909011</v>
      </c>
      <c r="D4" s="2" t="s">
        <v>308</v>
      </c>
      <c r="E4" t="s">
        <v>314</v>
      </c>
      <c r="G4" s="3" t="s">
        <v>292</v>
      </c>
      <c r="H4">
        <v>405</v>
      </c>
    </row>
    <row r="5" spans="1:11" x14ac:dyDescent="0.25">
      <c r="A5" s="3" t="s">
        <v>17</v>
      </c>
      <c r="B5" s="6">
        <v>5568042</v>
      </c>
      <c r="D5" s="3" t="s">
        <v>294</v>
      </c>
      <c r="E5" s="7">
        <v>131</v>
      </c>
      <c r="G5" s="3" t="s">
        <v>291</v>
      </c>
      <c r="H5">
        <v>359</v>
      </c>
    </row>
    <row r="6" spans="1:11" x14ac:dyDescent="0.25">
      <c r="A6" s="3" t="s">
        <v>15</v>
      </c>
      <c r="B6" s="6">
        <v>5561088</v>
      </c>
      <c r="D6" s="3" t="s">
        <v>292</v>
      </c>
      <c r="E6" s="7">
        <v>83</v>
      </c>
      <c r="G6" s="3" t="s">
        <v>293</v>
      </c>
      <c r="H6">
        <v>383</v>
      </c>
    </row>
    <row r="7" spans="1:11" x14ac:dyDescent="0.25">
      <c r="A7" s="3" t="s">
        <v>19</v>
      </c>
      <c r="B7" s="6">
        <v>4398940</v>
      </c>
      <c r="D7" s="3" t="s">
        <v>291</v>
      </c>
      <c r="E7" s="7">
        <v>113</v>
      </c>
      <c r="G7" s="3" t="s">
        <v>309</v>
      </c>
      <c r="H7">
        <v>1491</v>
      </c>
    </row>
    <row r="8" spans="1:11" x14ac:dyDescent="0.25">
      <c r="A8" s="3" t="s">
        <v>16</v>
      </c>
      <c r="B8" s="6">
        <v>4667978</v>
      </c>
      <c r="D8" s="3" t="s">
        <v>293</v>
      </c>
      <c r="E8" s="7">
        <v>107</v>
      </c>
    </row>
    <row r="9" spans="1:11" x14ac:dyDescent="0.25">
      <c r="A9" s="3" t="s">
        <v>18</v>
      </c>
      <c r="B9" s="6">
        <v>6070676</v>
      </c>
      <c r="D9" s="3" t="s">
        <v>309</v>
      </c>
      <c r="E9" s="7">
        <v>434</v>
      </c>
    </row>
    <row r="10" spans="1:11" x14ac:dyDescent="0.25">
      <c r="A10" s="3" t="s">
        <v>309</v>
      </c>
      <c r="B10" s="6">
        <v>30175735</v>
      </c>
    </row>
    <row r="15" spans="1:11" x14ac:dyDescent="0.25">
      <c r="A15" s="2" t="s">
        <v>308</v>
      </c>
      <c r="B15" t="s">
        <v>307</v>
      </c>
      <c r="G15" s="2" t="s">
        <v>307</v>
      </c>
      <c r="H15" s="2" t="s">
        <v>313</v>
      </c>
    </row>
    <row r="16" spans="1:11" x14ac:dyDescent="0.25">
      <c r="A16" s="3" t="s">
        <v>21</v>
      </c>
      <c r="B16" s="7">
        <v>1339240</v>
      </c>
      <c r="G16" s="2" t="s">
        <v>308</v>
      </c>
      <c r="H16" t="s">
        <v>295</v>
      </c>
      <c r="I16" t="s">
        <v>296</v>
      </c>
      <c r="J16" t="s">
        <v>297</v>
      </c>
      <c r="K16" t="s">
        <v>309</v>
      </c>
    </row>
    <row r="17" spans="1:11" x14ac:dyDescent="0.25">
      <c r="A17" s="3" t="s">
        <v>22</v>
      </c>
      <c r="B17" s="7">
        <v>1266085</v>
      </c>
      <c r="G17" s="3" t="s">
        <v>20</v>
      </c>
      <c r="H17" s="6">
        <v>2767446</v>
      </c>
      <c r="I17" s="6">
        <v>912887</v>
      </c>
      <c r="J17" s="6">
        <v>228678</v>
      </c>
      <c r="K17" s="6">
        <v>3909011</v>
      </c>
    </row>
    <row r="18" spans="1:11" x14ac:dyDescent="0.25">
      <c r="A18" s="3" t="s">
        <v>23</v>
      </c>
      <c r="B18" s="7">
        <v>2062653</v>
      </c>
      <c r="G18" s="3" t="s">
        <v>17</v>
      </c>
      <c r="H18" s="6">
        <v>1991032</v>
      </c>
      <c r="I18" s="6">
        <v>1903545</v>
      </c>
      <c r="J18" s="6">
        <v>1673465</v>
      </c>
      <c r="K18" s="6">
        <v>5568042</v>
      </c>
    </row>
    <row r="19" spans="1:11" x14ac:dyDescent="0.25">
      <c r="A19" s="3" t="s">
        <v>309</v>
      </c>
      <c r="B19" s="7">
        <v>4667978</v>
      </c>
      <c r="G19" s="3" t="s">
        <v>15</v>
      </c>
      <c r="H19" s="6">
        <v>2973511</v>
      </c>
      <c r="I19" s="6">
        <v>1611904</v>
      </c>
      <c r="J19" s="6">
        <v>975673</v>
      </c>
      <c r="K19" s="6">
        <v>5561088</v>
      </c>
    </row>
    <row r="20" spans="1:11" x14ac:dyDescent="0.25">
      <c r="G20" s="3" t="s">
        <v>19</v>
      </c>
      <c r="H20" s="6">
        <v>2321301</v>
      </c>
      <c r="I20" s="6">
        <v>967885</v>
      </c>
      <c r="J20" s="6">
        <v>1109754</v>
      </c>
      <c r="K20" s="6">
        <v>4398940</v>
      </c>
    </row>
    <row r="21" spans="1:11" x14ac:dyDescent="0.25">
      <c r="G21" s="3" t="s">
        <v>16</v>
      </c>
      <c r="H21" s="6">
        <v>3068235</v>
      </c>
      <c r="I21" s="6">
        <v>785001</v>
      </c>
      <c r="J21" s="6">
        <v>814742</v>
      </c>
      <c r="K21" s="6">
        <v>4667978</v>
      </c>
    </row>
    <row r="22" spans="1:11" x14ac:dyDescent="0.25">
      <c r="G22" s="3" t="s">
        <v>18</v>
      </c>
      <c r="H22" s="6">
        <v>3493761</v>
      </c>
      <c r="I22" s="6">
        <v>1423467</v>
      </c>
      <c r="J22" s="6">
        <v>1153448</v>
      </c>
      <c r="K22" s="6">
        <v>6070676</v>
      </c>
    </row>
    <row r="23" spans="1:11" x14ac:dyDescent="0.25">
      <c r="G23" s="3" t="s">
        <v>309</v>
      </c>
      <c r="H23" s="6">
        <v>16615286</v>
      </c>
      <c r="I23" s="6">
        <v>7604689</v>
      </c>
      <c r="J23" s="6">
        <v>5955760</v>
      </c>
      <c r="K23" s="6">
        <v>30175735</v>
      </c>
    </row>
    <row r="26" spans="1:11" x14ac:dyDescent="0.25">
      <c r="G26" s="2" t="s">
        <v>308</v>
      </c>
      <c r="H26" t="s">
        <v>314</v>
      </c>
      <c r="I26" t="s">
        <v>316</v>
      </c>
    </row>
    <row r="27" spans="1:11" x14ac:dyDescent="0.25">
      <c r="G27" s="3" t="s">
        <v>16</v>
      </c>
      <c r="H27" s="7">
        <v>259</v>
      </c>
      <c r="I27" s="7">
        <v>4450</v>
      </c>
    </row>
    <row r="28" spans="1:11" x14ac:dyDescent="0.25">
      <c r="G28" s="3" t="s">
        <v>309</v>
      </c>
      <c r="H28" s="7">
        <v>259</v>
      </c>
      <c r="I28" s="7">
        <v>4450</v>
      </c>
    </row>
    <row r="31" spans="1:11" x14ac:dyDescent="0.25">
      <c r="E31" s="2" t="s">
        <v>308</v>
      </c>
      <c r="F31" t="s">
        <v>307</v>
      </c>
      <c r="G31" t="s">
        <v>317</v>
      </c>
    </row>
    <row r="32" spans="1:11" x14ac:dyDescent="0.25">
      <c r="E32" s="3" t="s">
        <v>303</v>
      </c>
      <c r="F32" s="7">
        <v>1610589</v>
      </c>
      <c r="G32" s="7">
        <v>1453512.7000000002</v>
      </c>
    </row>
    <row r="33" spans="5:7" x14ac:dyDescent="0.25">
      <c r="E33" s="3" t="s">
        <v>306</v>
      </c>
      <c r="F33" s="7">
        <v>610797</v>
      </c>
      <c r="G33" s="7">
        <v>567988.4</v>
      </c>
    </row>
    <row r="34" spans="5:7" x14ac:dyDescent="0.25">
      <c r="E34" s="3" t="s">
        <v>305</v>
      </c>
      <c r="F34" s="7">
        <v>814105</v>
      </c>
      <c r="G34" s="7">
        <v>760489.45000000007</v>
      </c>
    </row>
    <row r="35" spans="5:7" x14ac:dyDescent="0.25">
      <c r="E35" s="3" t="s">
        <v>302</v>
      </c>
      <c r="F35" s="7">
        <v>902900</v>
      </c>
      <c r="G35" s="7">
        <v>858773.7</v>
      </c>
    </row>
    <row r="36" spans="5:7" x14ac:dyDescent="0.25">
      <c r="E36" s="3" t="s">
        <v>304</v>
      </c>
      <c r="F36" s="7">
        <v>729587</v>
      </c>
      <c r="G36" s="7">
        <v>676973.04999999993</v>
      </c>
    </row>
    <row r="37" spans="5:7" x14ac:dyDescent="0.25">
      <c r="E37" s="3" t="s">
        <v>309</v>
      </c>
      <c r="F37" s="7">
        <v>4667978</v>
      </c>
      <c r="G37" s="7">
        <v>4317737.3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1"/>
  <sheetViews>
    <sheetView zoomScale="105" zoomScaleNormal="105" workbookViewId="0">
      <selection activeCell="E10" sqref="E10"/>
    </sheetView>
  </sheetViews>
  <sheetFormatPr defaultRowHeight="15" x14ac:dyDescent="0.25"/>
  <cols>
    <col min="1" max="1" width="14.7109375" bestFit="1" customWidth="1"/>
    <col min="2" max="2" width="12.7109375" bestFit="1" customWidth="1"/>
    <col min="3" max="3" width="14.42578125" bestFit="1" customWidth="1"/>
    <col min="4" max="4" width="10.5703125" bestFit="1" customWidth="1"/>
    <col min="5" max="5" width="16" bestFit="1" customWidth="1"/>
    <col min="6" max="6" width="9.28515625" bestFit="1" customWidth="1"/>
    <col min="7" max="7" width="17.28515625" bestFit="1" customWidth="1"/>
    <col min="8" max="8" width="16" bestFit="1" customWidth="1"/>
    <col min="9" max="9" width="15.85546875" bestFit="1" customWidth="1"/>
    <col min="10" max="10" width="25.28515625" bestFit="1" customWidth="1"/>
    <col min="11" max="11" width="14.28515625" bestFit="1" customWidth="1"/>
    <col min="12" max="12" width="16.28515625" bestFit="1" customWidth="1"/>
    <col min="13" max="13" width="22" bestFit="1" customWidth="1"/>
    <col min="14" max="14" width="13.7109375" bestFit="1" customWidth="1"/>
    <col min="15" max="15" width="14" bestFit="1" customWidth="1"/>
    <col min="16" max="16" width="16.42578125" bestFit="1" customWidth="1"/>
    <col min="17" max="17" width="17.28515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310</v>
      </c>
      <c r="Q1" t="s">
        <v>311</v>
      </c>
    </row>
    <row r="2" spans="1:17" x14ac:dyDescent="0.25">
      <c r="A2" s="1" t="s">
        <v>15</v>
      </c>
      <c r="B2" s="1" t="s">
        <v>21</v>
      </c>
      <c r="C2" s="1" t="s">
        <v>24</v>
      </c>
      <c r="D2" s="1">
        <v>92840</v>
      </c>
      <c r="E2" s="1" t="s">
        <v>291</v>
      </c>
      <c r="F2" s="1" t="s">
        <v>295</v>
      </c>
      <c r="G2" s="1">
        <v>50</v>
      </c>
      <c r="H2" s="1">
        <v>4</v>
      </c>
      <c r="I2" s="1" t="s">
        <v>298</v>
      </c>
      <c r="J2" s="1">
        <v>15</v>
      </c>
      <c r="K2" s="1" t="s">
        <v>300</v>
      </c>
      <c r="L2" s="1" t="s">
        <v>302</v>
      </c>
      <c r="M2" s="1">
        <v>2</v>
      </c>
      <c r="N2" s="1">
        <v>15</v>
      </c>
      <c r="O2" s="1">
        <v>78914</v>
      </c>
      <c r="P2" s="4">
        <f>Table1[[#This Row],[Rooms Booked]]/Table1[[#This Row],[Rooms Available]]*100</f>
        <v>8</v>
      </c>
      <c r="Q2" s="4">
        <f>Table1[[#This Row],[Revenue]]/Table1[[#This Row],[Rooms Booked]]</f>
        <v>23210</v>
      </c>
    </row>
    <row r="3" spans="1:17" x14ac:dyDescent="0.25">
      <c r="A3" s="1" t="s">
        <v>16</v>
      </c>
      <c r="B3" s="1" t="s">
        <v>22</v>
      </c>
      <c r="C3" s="1" t="s">
        <v>25</v>
      </c>
      <c r="D3" s="1">
        <v>44598</v>
      </c>
      <c r="E3" s="1" t="s">
        <v>292</v>
      </c>
      <c r="F3" s="1" t="s">
        <v>295</v>
      </c>
      <c r="G3" s="1">
        <v>50</v>
      </c>
      <c r="H3" s="1">
        <v>1</v>
      </c>
      <c r="I3" s="1" t="s">
        <v>298</v>
      </c>
      <c r="J3" s="1">
        <v>6</v>
      </c>
      <c r="K3" s="1" t="s">
        <v>301</v>
      </c>
      <c r="L3" s="1" t="s">
        <v>303</v>
      </c>
      <c r="M3" s="1">
        <v>5</v>
      </c>
      <c r="N3" s="1">
        <v>10</v>
      </c>
      <c r="O3" s="1">
        <v>40138.199999999997</v>
      </c>
      <c r="P3" s="1">
        <f>Table1[[#This Row],[Rooms Booked]]/Table1[[#This Row],[Rooms Available]]*100</f>
        <v>2</v>
      </c>
      <c r="Q3" s="1">
        <f>Table1[[#This Row],[Revenue]]/Table1[[#This Row],[Rooms Booked]]</f>
        <v>44598</v>
      </c>
    </row>
    <row r="4" spans="1:17" x14ac:dyDescent="0.25">
      <c r="A4" s="1" t="s">
        <v>15</v>
      </c>
      <c r="B4" s="1" t="s">
        <v>21</v>
      </c>
      <c r="C4" s="1" t="s">
        <v>26</v>
      </c>
      <c r="D4" s="1">
        <v>48552</v>
      </c>
      <c r="E4" s="1" t="s">
        <v>293</v>
      </c>
      <c r="F4" s="1" t="s">
        <v>296</v>
      </c>
      <c r="G4" s="1">
        <v>50</v>
      </c>
      <c r="H4" s="1">
        <v>4</v>
      </c>
      <c r="I4" s="1" t="s">
        <v>298</v>
      </c>
      <c r="J4" s="1">
        <v>1</v>
      </c>
      <c r="K4" s="1" t="s">
        <v>300</v>
      </c>
      <c r="L4" s="1" t="s">
        <v>302</v>
      </c>
      <c r="M4" s="1">
        <v>3</v>
      </c>
      <c r="N4" s="1">
        <v>0</v>
      </c>
      <c r="O4" s="1">
        <v>48552</v>
      </c>
      <c r="P4" s="1">
        <f>Table1[[#This Row],[Rooms Booked]]/Table1[[#This Row],[Rooms Available]]*100</f>
        <v>8</v>
      </c>
      <c r="Q4" s="1">
        <f>Table1[[#This Row],[Revenue]]/Table1[[#This Row],[Rooms Booked]]</f>
        <v>12138</v>
      </c>
    </row>
    <row r="5" spans="1:17" x14ac:dyDescent="0.25">
      <c r="A5" s="1" t="s">
        <v>17</v>
      </c>
      <c r="B5" s="1" t="s">
        <v>23</v>
      </c>
      <c r="C5" s="1" t="s">
        <v>27</v>
      </c>
      <c r="D5" s="1">
        <v>105192</v>
      </c>
      <c r="E5" s="1" t="s">
        <v>292</v>
      </c>
      <c r="F5" s="1" t="s">
        <v>295</v>
      </c>
      <c r="G5" s="1">
        <v>50</v>
      </c>
      <c r="H5" s="1">
        <v>2</v>
      </c>
      <c r="I5" s="1" t="s">
        <v>298</v>
      </c>
      <c r="J5" s="1">
        <v>20</v>
      </c>
      <c r="K5" s="1" t="s">
        <v>300</v>
      </c>
      <c r="L5" s="1" t="s">
        <v>303</v>
      </c>
      <c r="M5" s="1">
        <v>5</v>
      </c>
      <c r="N5" s="1">
        <v>5</v>
      </c>
      <c r="O5" s="1">
        <v>99932.4</v>
      </c>
      <c r="P5" s="1">
        <f>Table1[[#This Row],[Rooms Booked]]/Table1[[#This Row],[Rooms Available]]*100</f>
        <v>4</v>
      </c>
      <c r="Q5" s="1">
        <f>Table1[[#This Row],[Revenue]]/Table1[[#This Row],[Rooms Booked]]</f>
        <v>52596</v>
      </c>
    </row>
    <row r="6" spans="1:17" x14ac:dyDescent="0.25">
      <c r="A6" s="1" t="s">
        <v>18</v>
      </c>
      <c r="B6" s="1" t="s">
        <v>23</v>
      </c>
      <c r="C6" s="1" t="s">
        <v>28</v>
      </c>
      <c r="D6" s="1">
        <v>199560</v>
      </c>
      <c r="E6" s="1" t="s">
        <v>291</v>
      </c>
      <c r="F6" s="1" t="s">
        <v>295</v>
      </c>
      <c r="G6" s="1">
        <v>50</v>
      </c>
      <c r="H6" s="1">
        <v>5</v>
      </c>
      <c r="I6" s="1" t="s">
        <v>298</v>
      </c>
      <c r="J6" s="1">
        <v>13</v>
      </c>
      <c r="K6" s="1" t="s">
        <v>300</v>
      </c>
      <c r="L6" s="1" t="s">
        <v>304</v>
      </c>
      <c r="M6" s="1">
        <v>4</v>
      </c>
      <c r="N6" s="1">
        <v>5</v>
      </c>
      <c r="O6" s="1">
        <v>189582</v>
      </c>
      <c r="P6" s="1">
        <f>Table1[[#This Row],[Rooms Booked]]/Table1[[#This Row],[Rooms Available]]*100</f>
        <v>10</v>
      </c>
      <c r="Q6" s="1">
        <f>Table1[[#This Row],[Revenue]]/Table1[[#This Row],[Rooms Booked]]</f>
        <v>39912</v>
      </c>
    </row>
    <row r="7" spans="1:17" x14ac:dyDescent="0.25">
      <c r="A7" s="1" t="s">
        <v>16</v>
      </c>
      <c r="B7" s="1" t="s">
        <v>23</v>
      </c>
      <c r="C7" s="1" t="s">
        <v>29</v>
      </c>
      <c r="D7" s="1">
        <v>26958</v>
      </c>
      <c r="E7" s="1" t="s">
        <v>292</v>
      </c>
      <c r="F7" s="1" t="s">
        <v>295</v>
      </c>
      <c r="G7" s="1">
        <v>50</v>
      </c>
      <c r="H7" s="1">
        <v>2</v>
      </c>
      <c r="I7" s="1" t="s">
        <v>298</v>
      </c>
      <c r="J7" s="1">
        <v>25</v>
      </c>
      <c r="K7" s="1" t="s">
        <v>300</v>
      </c>
      <c r="L7" s="1" t="s">
        <v>305</v>
      </c>
      <c r="M7" s="1">
        <v>4</v>
      </c>
      <c r="N7" s="1">
        <v>10</v>
      </c>
      <c r="O7" s="1">
        <v>24262.2</v>
      </c>
      <c r="P7" s="1">
        <f>Table1[[#This Row],[Rooms Booked]]/Table1[[#This Row],[Rooms Available]]*100</f>
        <v>4</v>
      </c>
      <c r="Q7" s="1">
        <f>Table1[[#This Row],[Revenue]]/Table1[[#This Row],[Rooms Booked]]</f>
        <v>13479</v>
      </c>
    </row>
    <row r="8" spans="1:17" x14ac:dyDescent="0.25">
      <c r="A8" s="1" t="s">
        <v>19</v>
      </c>
      <c r="B8" s="1" t="s">
        <v>21</v>
      </c>
      <c r="C8" s="1" t="s">
        <v>30</v>
      </c>
      <c r="D8" s="1">
        <v>53788</v>
      </c>
      <c r="E8" s="1" t="s">
        <v>291</v>
      </c>
      <c r="F8" s="1" t="s">
        <v>296</v>
      </c>
      <c r="G8" s="1">
        <v>50</v>
      </c>
      <c r="H8" s="1">
        <v>4</v>
      </c>
      <c r="I8" s="1" t="s">
        <v>298</v>
      </c>
      <c r="J8" s="1">
        <v>15</v>
      </c>
      <c r="K8" s="1" t="s">
        <v>301</v>
      </c>
      <c r="L8" s="1" t="s">
        <v>306</v>
      </c>
      <c r="M8" s="1">
        <v>4</v>
      </c>
      <c r="N8" s="1">
        <v>15</v>
      </c>
      <c r="O8" s="1">
        <v>45719.8</v>
      </c>
      <c r="P8" s="1">
        <f>Table1[[#This Row],[Rooms Booked]]/Table1[[#This Row],[Rooms Available]]*100</f>
        <v>8</v>
      </c>
      <c r="Q8" s="1">
        <f>Table1[[#This Row],[Revenue]]/Table1[[#This Row],[Rooms Booked]]</f>
        <v>13447</v>
      </c>
    </row>
    <row r="9" spans="1:17" x14ac:dyDescent="0.25">
      <c r="A9" s="1" t="s">
        <v>16</v>
      </c>
      <c r="B9" s="1" t="s">
        <v>23</v>
      </c>
      <c r="C9" s="1" t="s">
        <v>31</v>
      </c>
      <c r="D9" s="1">
        <v>100080</v>
      </c>
      <c r="E9" s="1" t="s">
        <v>294</v>
      </c>
      <c r="F9" s="1" t="s">
        <v>297</v>
      </c>
      <c r="G9" s="1">
        <v>50</v>
      </c>
      <c r="H9" s="1">
        <v>2</v>
      </c>
      <c r="I9" s="1" t="s">
        <v>298</v>
      </c>
      <c r="J9" s="1">
        <v>3</v>
      </c>
      <c r="K9" s="1" t="s">
        <v>301</v>
      </c>
      <c r="L9" s="1" t="s">
        <v>305</v>
      </c>
      <c r="M9" s="1">
        <v>3</v>
      </c>
      <c r="N9" s="1">
        <v>10</v>
      </c>
      <c r="O9" s="1">
        <v>90072</v>
      </c>
      <c r="P9" s="1">
        <f>Table1[[#This Row],[Rooms Booked]]/Table1[[#This Row],[Rooms Available]]*100</f>
        <v>4</v>
      </c>
      <c r="Q9" s="1">
        <f>Table1[[#This Row],[Revenue]]/Table1[[#This Row],[Rooms Booked]]</f>
        <v>50040</v>
      </c>
    </row>
    <row r="10" spans="1:17" x14ac:dyDescent="0.25">
      <c r="A10" s="1" t="s">
        <v>18</v>
      </c>
      <c r="B10" s="1" t="s">
        <v>22</v>
      </c>
      <c r="C10" s="1" t="s">
        <v>32</v>
      </c>
      <c r="D10" s="1">
        <v>289360</v>
      </c>
      <c r="E10" s="1" t="s">
        <v>291</v>
      </c>
      <c r="F10" s="1" t="s">
        <v>297</v>
      </c>
      <c r="G10" s="1">
        <v>50</v>
      </c>
      <c r="H10" s="1">
        <v>5</v>
      </c>
      <c r="I10" s="1" t="s">
        <v>298</v>
      </c>
      <c r="J10" s="1">
        <v>5</v>
      </c>
      <c r="K10" s="1" t="s">
        <v>300</v>
      </c>
      <c r="L10" s="1" t="s">
        <v>304</v>
      </c>
      <c r="M10" s="1">
        <v>4</v>
      </c>
      <c r="N10" s="1">
        <v>10</v>
      </c>
      <c r="O10" s="1">
        <v>260424</v>
      </c>
      <c r="P10" s="1">
        <f>Table1[[#This Row],[Rooms Booked]]/Table1[[#This Row],[Rooms Available]]*100</f>
        <v>10</v>
      </c>
      <c r="Q10" s="1">
        <f>Table1[[#This Row],[Revenue]]/Table1[[#This Row],[Rooms Booked]]</f>
        <v>57872</v>
      </c>
    </row>
    <row r="11" spans="1:17" x14ac:dyDescent="0.25">
      <c r="A11" s="1" t="s">
        <v>18</v>
      </c>
      <c r="B11" s="1" t="s">
        <v>21</v>
      </c>
      <c r="C11" s="1" t="s">
        <v>33</v>
      </c>
      <c r="D11" s="1">
        <v>40080</v>
      </c>
      <c r="E11" s="1" t="s">
        <v>292</v>
      </c>
      <c r="F11" s="1" t="s">
        <v>296</v>
      </c>
      <c r="G11" s="1">
        <v>50</v>
      </c>
      <c r="H11" s="1">
        <v>2</v>
      </c>
      <c r="I11" s="1" t="s">
        <v>298</v>
      </c>
      <c r="J11" s="1">
        <v>15</v>
      </c>
      <c r="K11" s="1" t="s">
        <v>301</v>
      </c>
      <c r="L11" s="1" t="s">
        <v>302</v>
      </c>
      <c r="M11" s="1">
        <v>2</v>
      </c>
      <c r="N11" s="1">
        <v>10</v>
      </c>
      <c r="O11" s="1">
        <v>36072</v>
      </c>
      <c r="P11" s="1">
        <f>Table1[[#This Row],[Rooms Booked]]/Table1[[#This Row],[Rooms Available]]*100</f>
        <v>4</v>
      </c>
      <c r="Q11" s="1">
        <f>Table1[[#This Row],[Revenue]]/Table1[[#This Row],[Rooms Booked]]</f>
        <v>20040</v>
      </c>
    </row>
    <row r="12" spans="1:17" x14ac:dyDescent="0.25">
      <c r="A12" s="1" t="s">
        <v>15</v>
      </c>
      <c r="B12" s="1" t="s">
        <v>22</v>
      </c>
      <c r="C12" s="1" t="s">
        <v>34</v>
      </c>
      <c r="D12" s="1">
        <v>43464</v>
      </c>
      <c r="E12" s="1" t="s">
        <v>291</v>
      </c>
      <c r="F12" s="1" t="s">
        <v>296</v>
      </c>
      <c r="G12" s="1">
        <v>50</v>
      </c>
      <c r="H12" s="1">
        <v>4</v>
      </c>
      <c r="I12" s="1" t="s">
        <v>298</v>
      </c>
      <c r="J12" s="1">
        <v>20</v>
      </c>
      <c r="K12" s="1" t="s">
        <v>300</v>
      </c>
      <c r="L12" s="1" t="s">
        <v>306</v>
      </c>
      <c r="M12" s="1">
        <v>1</v>
      </c>
      <c r="N12" s="1">
        <v>10</v>
      </c>
      <c r="O12" s="1">
        <v>39117.599999999999</v>
      </c>
      <c r="P12" s="1">
        <f>Table1[[#This Row],[Rooms Booked]]/Table1[[#This Row],[Rooms Available]]*100</f>
        <v>8</v>
      </c>
      <c r="Q12" s="1">
        <f>Table1[[#This Row],[Revenue]]/Table1[[#This Row],[Rooms Booked]]</f>
        <v>10866</v>
      </c>
    </row>
    <row r="13" spans="1:17" x14ac:dyDescent="0.25">
      <c r="A13" s="1" t="s">
        <v>20</v>
      </c>
      <c r="B13" s="1" t="s">
        <v>22</v>
      </c>
      <c r="C13" s="1" t="s">
        <v>35</v>
      </c>
      <c r="D13" s="1">
        <v>245140</v>
      </c>
      <c r="E13" s="1" t="s">
        <v>291</v>
      </c>
      <c r="F13" s="1" t="s">
        <v>295</v>
      </c>
      <c r="G13" s="1">
        <v>50</v>
      </c>
      <c r="H13" s="1">
        <v>5</v>
      </c>
      <c r="I13" s="1" t="s">
        <v>298</v>
      </c>
      <c r="J13" s="1">
        <v>27</v>
      </c>
      <c r="K13" s="1" t="s">
        <v>300</v>
      </c>
      <c r="L13" s="1" t="s">
        <v>304</v>
      </c>
      <c r="M13" s="1">
        <v>4</v>
      </c>
      <c r="N13" s="1">
        <v>5</v>
      </c>
      <c r="O13" s="1">
        <v>232883</v>
      </c>
      <c r="P13" s="1">
        <f>Table1[[#This Row],[Rooms Booked]]/Table1[[#This Row],[Rooms Available]]*100</f>
        <v>10</v>
      </c>
      <c r="Q13" s="1">
        <f>Table1[[#This Row],[Revenue]]/Table1[[#This Row],[Rooms Booked]]</f>
        <v>49028</v>
      </c>
    </row>
    <row r="14" spans="1:17" x14ac:dyDescent="0.25">
      <c r="A14" s="1" t="s">
        <v>17</v>
      </c>
      <c r="B14" s="1" t="s">
        <v>23</v>
      </c>
      <c r="C14" s="1" t="s">
        <v>36</v>
      </c>
      <c r="D14" s="1">
        <v>55576</v>
      </c>
      <c r="E14" s="1" t="s">
        <v>292</v>
      </c>
      <c r="F14" s="1" t="s">
        <v>295</v>
      </c>
      <c r="G14" s="1">
        <v>50</v>
      </c>
      <c r="H14" s="1">
        <v>1</v>
      </c>
      <c r="I14" s="1" t="s">
        <v>298</v>
      </c>
      <c r="J14" s="1">
        <v>20</v>
      </c>
      <c r="K14" s="1" t="s">
        <v>300</v>
      </c>
      <c r="L14" s="1" t="s">
        <v>305</v>
      </c>
      <c r="M14" s="1">
        <v>4</v>
      </c>
      <c r="N14" s="1">
        <v>10</v>
      </c>
      <c r="O14" s="1">
        <v>50018.400000000001</v>
      </c>
      <c r="P14" s="1">
        <f>Table1[[#This Row],[Rooms Booked]]/Table1[[#This Row],[Rooms Available]]*100</f>
        <v>2</v>
      </c>
      <c r="Q14" s="1">
        <f>Table1[[#This Row],[Revenue]]/Table1[[#This Row],[Rooms Booked]]</f>
        <v>55576</v>
      </c>
    </row>
    <row r="15" spans="1:17" x14ac:dyDescent="0.25">
      <c r="A15" s="1" t="s">
        <v>18</v>
      </c>
      <c r="B15" s="1" t="s">
        <v>21</v>
      </c>
      <c r="C15" s="1" t="s">
        <v>37</v>
      </c>
      <c r="D15" s="1">
        <v>51595</v>
      </c>
      <c r="E15" s="1" t="s">
        <v>292</v>
      </c>
      <c r="F15" s="1" t="s">
        <v>295</v>
      </c>
      <c r="G15" s="1">
        <v>50</v>
      </c>
      <c r="H15" s="1">
        <v>5</v>
      </c>
      <c r="I15" s="1" t="s">
        <v>298</v>
      </c>
      <c r="J15" s="1">
        <v>20</v>
      </c>
      <c r="K15" s="1" t="s">
        <v>300</v>
      </c>
      <c r="L15" s="1" t="s">
        <v>303</v>
      </c>
      <c r="M15" s="1">
        <v>2</v>
      </c>
      <c r="N15" s="1">
        <v>10</v>
      </c>
      <c r="O15" s="1">
        <v>46435.5</v>
      </c>
      <c r="P15" s="1">
        <f>Table1[[#This Row],[Rooms Booked]]/Table1[[#This Row],[Rooms Available]]*100</f>
        <v>10</v>
      </c>
      <c r="Q15" s="1">
        <f>Table1[[#This Row],[Revenue]]/Table1[[#This Row],[Rooms Booked]]</f>
        <v>10319</v>
      </c>
    </row>
    <row r="16" spans="1:17" x14ac:dyDescent="0.25">
      <c r="A16" s="1" t="s">
        <v>19</v>
      </c>
      <c r="B16" s="1" t="s">
        <v>21</v>
      </c>
      <c r="C16" s="1" t="s">
        <v>38</v>
      </c>
      <c r="D16" s="1">
        <v>0</v>
      </c>
      <c r="E16" s="1" t="s">
        <v>292</v>
      </c>
      <c r="F16" s="1" t="s">
        <v>296</v>
      </c>
      <c r="G16" s="1">
        <v>50</v>
      </c>
      <c r="H16" s="1">
        <v>1</v>
      </c>
      <c r="I16" s="1" t="s">
        <v>299</v>
      </c>
      <c r="J16" s="1">
        <v>20</v>
      </c>
      <c r="K16" s="1" t="s">
        <v>301</v>
      </c>
      <c r="L16" s="1" t="s">
        <v>302</v>
      </c>
      <c r="M16" s="1">
        <v>4</v>
      </c>
      <c r="N16" s="1">
        <v>0</v>
      </c>
      <c r="O16" s="1">
        <v>0</v>
      </c>
      <c r="P16" s="1">
        <f>Table1[[#This Row],[Rooms Booked]]/Table1[[#This Row],[Rooms Available]]*100</f>
        <v>2</v>
      </c>
      <c r="Q16" s="1">
        <f>Table1[[#This Row],[Revenue]]/Table1[[#This Row],[Rooms Booked]]</f>
        <v>0</v>
      </c>
    </row>
    <row r="17" spans="1:17" x14ac:dyDescent="0.25">
      <c r="A17" s="1" t="s">
        <v>20</v>
      </c>
      <c r="B17" s="1" t="s">
        <v>23</v>
      </c>
      <c r="C17" s="1" t="s">
        <v>39</v>
      </c>
      <c r="D17" s="1">
        <v>0</v>
      </c>
      <c r="E17" s="1" t="s">
        <v>294</v>
      </c>
      <c r="F17" s="1" t="s">
        <v>297</v>
      </c>
      <c r="G17" s="1">
        <v>50</v>
      </c>
      <c r="H17" s="1">
        <v>2</v>
      </c>
      <c r="I17" s="1" t="s">
        <v>299</v>
      </c>
      <c r="J17" s="1">
        <v>26</v>
      </c>
      <c r="K17" s="1" t="s">
        <v>301</v>
      </c>
      <c r="L17" s="1" t="s">
        <v>306</v>
      </c>
      <c r="M17" s="1">
        <v>2</v>
      </c>
      <c r="N17" s="1">
        <v>5</v>
      </c>
      <c r="O17" s="1">
        <v>0</v>
      </c>
      <c r="P17" s="1">
        <f>Table1[[#This Row],[Rooms Booked]]/Table1[[#This Row],[Rooms Available]]*100</f>
        <v>4</v>
      </c>
      <c r="Q17" s="1">
        <f>Table1[[#This Row],[Revenue]]/Table1[[#This Row],[Rooms Booked]]</f>
        <v>0</v>
      </c>
    </row>
    <row r="18" spans="1:17" x14ac:dyDescent="0.25">
      <c r="A18" s="1" t="s">
        <v>17</v>
      </c>
      <c r="B18" s="1" t="s">
        <v>23</v>
      </c>
      <c r="C18" s="1" t="s">
        <v>40</v>
      </c>
      <c r="D18" s="1">
        <v>16980</v>
      </c>
      <c r="E18" s="1" t="s">
        <v>292</v>
      </c>
      <c r="F18" s="1" t="s">
        <v>295</v>
      </c>
      <c r="G18" s="1">
        <v>50</v>
      </c>
      <c r="H18" s="1">
        <v>3</v>
      </c>
      <c r="I18" s="1" t="s">
        <v>298</v>
      </c>
      <c r="J18" s="1">
        <v>18</v>
      </c>
      <c r="K18" s="1" t="s">
        <v>301</v>
      </c>
      <c r="L18" s="1" t="s">
        <v>304</v>
      </c>
      <c r="M18" s="1">
        <v>1</v>
      </c>
      <c r="N18" s="1">
        <v>15</v>
      </c>
      <c r="O18" s="1">
        <v>14433</v>
      </c>
      <c r="P18" s="1">
        <f>Table1[[#This Row],[Rooms Booked]]/Table1[[#This Row],[Rooms Available]]*100</f>
        <v>6</v>
      </c>
      <c r="Q18" s="1">
        <f>Table1[[#This Row],[Revenue]]/Table1[[#This Row],[Rooms Booked]]</f>
        <v>5660</v>
      </c>
    </row>
    <row r="19" spans="1:17" x14ac:dyDescent="0.25">
      <c r="A19" s="1" t="s">
        <v>19</v>
      </c>
      <c r="B19" s="1" t="s">
        <v>21</v>
      </c>
      <c r="C19" s="1" t="s">
        <v>41</v>
      </c>
      <c r="D19" s="1">
        <v>141732</v>
      </c>
      <c r="E19" s="1" t="s">
        <v>294</v>
      </c>
      <c r="F19" s="1" t="s">
        <v>295</v>
      </c>
      <c r="G19" s="1">
        <v>50</v>
      </c>
      <c r="H19" s="1">
        <v>4</v>
      </c>
      <c r="I19" s="1" t="s">
        <v>298</v>
      </c>
      <c r="J19" s="1">
        <v>11</v>
      </c>
      <c r="K19" s="1" t="s">
        <v>301</v>
      </c>
      <c r="L19" s="1" t="s">
        <v>303</v>
      </c>
      <c r="M19" s="1">
        <v>2</v>
      </c>
      <c r="N19" s="1">
        <v>15</v>
      </c>
      <c r="O19" s="1">
        <v>120472.2</v>
      </c>
      <c r="P19" s="1">
        <f>Table1[[#This Row],[Rooms Booked]]/Table1[[#This Row],[Rooms Available]]*100</f>
        <v>8</v>
      </c>
      <c r="Q19" s="1">
        <f>Table1[[#This Row],[Revenue]]/Table1[[#This Row],[Rooms Booked]]</f>
        <v>35433</v>
      </c>
    </row>
    <row r="20" spans="1:17" x14ac:dyDescent="0.25">
      <c r="A20" s="1" t="s">
        <v>20</v>
      </c>
      <c r="B20" s="1" t="s">
        <v>21</v>
      </c>
      <c r="C20" s="1" t="s">
        <v>42</v>
      </c>
      <c r="D20" s="1">
        <v>32394</v>
      </c>
      <c r="E20" s="1" t="s">
        <v>293</v>
      </c>
      <c r="F20" s="1" t="s">
        <v>295</v>
      </c>
      <c r="G20" s="1">
        <v>50</v>
      </c>
      <c r="H20" s="1">
        <v>1</v>
      </c>
      <c r="I20" s="1" t="s">
        <v>298</v>
      </c>
      <c r="J20" s="1">
        <v>21</v>
      </c>
      <c r="K20" s="1" t="s">
        <v>300</v>
      </c>
      <c r="L20" s="1" t="s">
        <v>303</v>
      </c>
      <c r="M20" s="1">
        <v>3</v>
      </c>
      <c r="N20" s="1">
        <v>5</v>
      </c>
      <c r="O20" s="1">
        <v>30774.3</v>
      </c>
      <c r="P20" s="1">
        <f>Table1[[#This Row],[Rooms Booked]]/Table1[[#This Row],[Rooms Available]]*100</f>
        <v>2</v>
      </c>
      <c r="Q20" s="1">
        <f>Table1[[#This Row],[Revenue]]/Table1[[#This Row],[Rooms Booked]]</f>
        <v>32394</v>
      </c>
    </row>
    <row r="21" spans="1:17" x14ac:dyDescent="0.25">
      <c r="A21" s="1" t="s">
        <v>19</v>
      </c>
      <c r="B21" s="1" t="s">
        <v>23</v>
      </c>
      <c r="C21" s="1" t="s">
        <v>43</v>
      </c>
      <c r="D21" s="1">
        <v>22328</v>
      </c>
      <c r="E21" s="1" t="s">
        <v>294</v>
      </c>
      <c r="F21" s="1" t="s">
        <v>295</v>
      </c>
      <c r="G21" s="1">
        <v>50</v>
      </c>
      <c r="H21" s="1">
        <v>4</v>
      </c>
      <c r="I21" s="1" t="s">
        <v>298</v>
      </c>
      <c r="J21" s="1">
        <v>13</v>
      </c>
      <c r="K21" s="1" t="s">
        <v>300</v>
      </c>
      <c r="L21" s="1" t="s">
        <v>306</v>
      </c>
      <c r="M21" s="1">
        <v>2</v>
      </c>
      <c r="N21" s="1">
        <v>10</v>
      </c>
      <c r="O21" s="1">
        <v>20095.2</v>
      </c>
      <c r="P21" s="1">
        <f>Table1[[#This Row],[Rooms Booked]]/Table1[[#This Row],[Rooms Available]]*100</f>
        <v>8</v>
      </c>
      <c r="Q21" s="1">
        <f>Table1[[#This Row],[Revenue]]/Table1[[#This Row],[Rooms Booked]]</f>
        <v>5582</v>
      </c>
    </row>
    <row r="22" spans="1:17" x14ac:dyDescent="0.25">
      <c r="A22" s="1" t="s">
        <v>19</v>
      </c>
      <c r="B22" s="1" t="s">
        <v>21</v>
      </c>
      <c r="C22" s="1" t="s">
        <v>44</v>
      </c>
      <c r="D22" s="1">
        <v>10298</v>
      </c>
      <c r="E22" s="1" t="s">
        <v>292</v>
      </c>
      <c r="F22" s="1" t="s">
        <v>296</v>
      </c>
      <c r="G22" s="1">
        <v>50</v>
      </c>
      <c r="H22" s="1">
        <v>2</v>
      </c>
      <c r="I22" s="1" t="s">
        <v>298</v>
      </c>
      <c r="J22" s="1">
        <v>25</v>
      </c>
      <c r="K22" s="1" t="s">
        <v>301</v>
      </c>
      <c r="L22" s="1" t="s">
        <v>302</v>
      </c>
      <c r="M22" s="1">
        <v>3</v>
      </c>
      <c r="N22" s="1">
        <v>15</v>
      </c>
      <c r="O22" s="1">
        <v>8753.2999999999993</v>
      </c>
      <c r="P22" s="1">
        <f>Table1[[#This Row],[Rooms Booked]]/Table1[[#This Row],[Rooms Available]]*100</f>
        <v>4</v>
      </c>
      <c r="Q22" s="1">
        <f>Table1[[#This Row],[Revenue]]/Table1[[#This Row],[Rooms Booked]]</f>
        <v>5149</v>
      </c>
    </row>
    <row r="23" spans="1:17" x14ac:dyDescent="0.25">
      <c r="A23" s="1" t="s">
        <v>18</v>
      </c>
      <c r="B23" s="1" t="s">
        <v>21</v>
      </c>
      <c r="C23" s="1" t="s">
        <v>45</v>
      </c>
      <c r="D23" s="1">
        <v>199072</v>
      </c>
      <c r="E23" s="1" t="s">
        <v>292</v>
      </c>
      <c r="F23" s="1" t="s">
        <v>295</v>
      </c>
      <c r="G23" s="1">
        <v>50</v>
      </c>
      <c r="H23" s="1">
        <v>4</v>
      </c>
      <c r="I23" s="1" t="s">
        <v>298</v>
      </c>
      <c r="J23" s="1">
        <v>16</v>
      </c>
      <c r="K23" s="1" t="s">
        <v>300</v>
      </c>
      <c r="L23" s="1" t="s">
        <v>304</v>
      </c>
      <c r="M23" s="1">
        <v>1</v>
      </c>
      <c r="N23" s="1">
        <v>15</v>
      </c>
      <c r="O23" s="1">
        <v>169211.2</v>
      </c>
      <c r="P23" s="1">
        <f>Table1[[#This Row],[Rooms Booked]]/Table1[[#This Row],[Rooms Available]]*100</f>
        <v>8</v>
      </c>
      <c r="Q23" s="1">
        <f>Table1[[#This Row],[Revenue]]/Table1[[#This Row],[Rooms Booked]]</f>
        <v>49768</v>
      </c>
    </row>
    <row r="24" spans="1:17" x14ac:dyDescent="0.25">
      <c r="A24" s="1" t="s">
        <v>20</v>
      </c>
      <c r="B24" s="1" t="s">
        <v>23</v>
      </c>
      <c r="C24" s="1" t="s">
        <v>46</v>
      </c>
      <c r="D24" s="1">
        <v>8260</v>
      </c>
      <c r="E24" s="1" t="s">
        <v>294</v>
      </c>
      <c r="F24" s="1" t="s">
        <v>296</v>
      </c>
      <c r="G24" s="1">
        <v>50</v>
      </c>
      <c r="H24" s="1">
        <v>2</v>
      </c>
      <c r="I24" s="1" t="s">
        <v>298</v>
      </c>
      <c r="J24" s="1">
        <v>23</v>
      </c>
      <c r="K24" s="1" t="s">
        <v>300</v>
      </c>
      <c r="L24" s="1" t="s">
        <v>303</v>
      </c>
      <c r="M24" s="1">
        <v>5</v>
      </c>
      <c r="N24" s="1">
        <v>10</v>
      </c>
      <c r="O24" s="1">
        <v>7434</v>
      </c>
      <c r="P24" s="1">
        <f>Table1[[#This Row],[Rooms Booked]]/Table1[[#This Row],[Rooms Available]]*100</f>
        <v>4</v>
      </c>
      <c r="Q24" s="1">
        <f>Table1[[#This Row],[Revenue]]/Table1[[#This Row],[Rooms Booked]]</f>
        <v>4130</v>
      </c>
    </row>
    <row r="25" spans="1:17" x14ac:dyDescent="0.25">
      <c r="A25" s="1" t="s">
        <v>15</v>
      </c>
      <c r="B25" s="1" t="s">
        <v>22</v>
      </c>
      <c r="C25" s="1" t="s">
        <v>47</v>
      </c>
      <c r="D25" s="1">
        <v>26682</v>
      </c>
      <c r="E25" s="1" t="s">
        <v>293</v>
      </c>
      <c r="F25" s="1" t="s">
        <v>295</v>
      </c>
      <c r="G25" s="1">
        <v>50</v>
      </c>
      <c r="H25" s="1">
        <v>2</v>
      </c>
      <c r="I25" s="1" t="s">
        <v>298</v>
      </c>
      <c r="J25" s="1">
        <v>14</v>
      </c>
      <c r="K25" s="1" t="s">
        <v>301</v>
      </c>
      <c r="L25" s="1" t="s">
        <v>305</v>
      </c>
      <c r="M25" s="1">
        <v>4</v>
      </c>
      <c r="N25" s="1">
        <v>15</v>
      </c>
      <c r="O25" s="1">
        <v>22679.7</v>
      </c>
      <c r="P25" s="1">
        <f>Table1[[#This Row],[Rooms Booked]]/Table1[[#This Row],[Rooms Available]]*100</f>
        <v>4</v>
      </c>
      <c r="Q25" s="1">
        <f>Table1[[#This Row],[Revenue]]/Table1[[#This Row],[Rooms Booked]]</f>
        <v>13341</v>
      </c>
    </row>
    <row r="26" spans="1:17" x14ac:dyDescent="0.25">
      <c r="A26" s="1" t="s">
        <v>17</v>
      </c>
      <c r="B26" s="1" t="s">
        <v>21</v>
      </c>
      <c r="C26" s="1" t="s">
        <v>48</v>
      </c>
      <c r="D26" s="1">
        <v>159140</v>
      </c>
      <c r="E26" s="1" t="s">
        <v>292</v>
      </c>
      <c r="F26" s="1" t="s">
        <v>295</v>
      </c>
      <c r="G26" s="1">
        <v>50</v>
      </c>
      <c r="H26" s="1">
        <v>5</v>
      </c>
      <c r="I26" s="1" t="s">
        <v>298</v>
      </c>
      <c r="J26" s="1">
        <v>5</v>
      </c>
      <c r="K26" s="1" t="s">
        <v>301</v>
      </c>
      <c r="L26" s="1" t="s">
        <v>304</v>
      </c>
      <c r="M26" s="1">
        <v>5</v>
      </c>
      <c r="N26" s="1">
        <v>10</v>
      </c>
      <c r="O26" s="1">
        <v>143226</v>
      </c>
      <c r="P26" s="1">
        <f>Table1[[#This Row],[Rooms Booked]]/Table1[[#This Row],[Rooms Available]]*100</f>
        <v>10</v>
      </c>
      <c r="Q26" s="1">
        <f>Table1[[#This Row],[Revenue]]/Table1[[#This Row],[Rooms Booked]]</f>
        <v>31828</v>
      </c>
    </row>
    <row r="27" spans="1:17" x14ac:dyDescent="0.25">
      <c r="A27" s="1" t="s">
        <v>19</v>
      </c>
      <c r="B27" s="1" t="s">
        <v>21</v>
      </c>
      <c r="C27" s="1" t="s">
        <v>49</v>
      </c>
      <c r="D27" s="1">
        <v>20112</v>
      </c>
      <c r="E27" s="1" t="s">
        <v>294</v>
      </c>
      <c r="F27" s="1" t="s">
        <v>297</v>
      </c>
      <c r="G27" s="1">
        <v>50</v>
      </c>
      <c r="H27" s="1">
        <v>4</v>
      </c>
      <c r="I27" s="1" t="s">
        <v>298</v>
      </c>
      <c r="J27" s="1">
        <v>5</v>
      </c>
      <c r="K27" s="1" t="s">
        <v>300</v>
      </c>
      <c r="L27" s="1" t="s">
        <v>302</v>
      </c>
      <c r="M27" s="1">
        <v>2</v>
      </c>
      <c r="N27" s="1">
        <v>5</v>
      </c>
      <c r="O27" s="1">
        <v>19106.400000000001</v>
      </c>
      <c r="P27" s="1">
        <f>Table1[[#This Row],[Rooms Booked]]/Table1[[#This Row],[Rooms Available]]*100</f>
        <v>8</v>
      </c>
      <c r="Q27" s="1">
        <f>Table1[[#This Row],[Revenue]]/Table1[[#This Row],[Rooms Booked]]</f>
        <v>5028</v>
      </c>
    </row>
    <row r="28" spans="1:17" x14ac:dyDescent="0.25">
      <c r="A28" s="1" t="s">
        <v>17</v>
      </c>
      <c r="B28" s="1" t="s">
        <v>21</v>
      </c>
      <c r="C28" s="1" t="s">
        <v>50</v>
      </c>
      <c r="D28" s="1">
        <v>211840</v>
      </c>
      <c r="E28" s="1" t="s">
        <v>293</v>
      </c>
      <c r="F28" s="1" t="s">
        <v>296</v>
      </c>
      <c r="G28" s="1">
        <v>50</v>
      </c>
      <c r="H28" s="1">
        <v>5</v>
      </c>
      <c r="I28" s="1" t="s">
        <v>298</v>
      </c>
      <c r="J28" s="1">
        <v>19</v>
      </c>
      <c r="K28" s="1" t="s">
        <v>300</v>
      </c>
      <c r="L28" s="1" t="s">
        <v>304</v>
      </c>
      <c r="M28" s="1">
        <v>1</v>
      </c>
      <c r="N28" s="1">
        <v>0</v>
      </c>
      <c r="O28" s="1">
        <v>211840</v>
      </c>
      <c r="P28" s="1">
        <f>Table1[[#This Row],[Rooms Booked]]/Table1[[#This Row],[Rooms Available]]*100</f>
        <v>10</v>
      </c>
      <c r="Q28" s="1">
        <f>Table1[[#This Row],[Revenue]]/Table1[[#This Row],[Rooms Booked]]</f>
        <v>42368</v>
      </c>
    </row>
    <row r="29" spans="1:17" x14ac:dyDescent="0.25">
      <c r="A29" s="1" t="s">
        <v>20</v>
      </c>
      <c r="B29" s="1" t="s">
        <v>21</v>
      </c>
      <c r="C29" s="1" t="s">
        <v>51</v>
      </c>
      <c r="D29" s="1">
        <v>124677</v>
      </c>
      <c r="E29" s="1" t="s">
        <v>292</v>
      </c>
      <c r="F29" s="1" t="s">
        <v>296</v>
      </c>
      <c r="G29" s="1">
        <v>50</v>
      </c>
      <c r="H29" s="1">
        <v>3</v>
      </c>
      <c r="I29" s="1" t="s">
        <v>298</v>
      </c>
      <c r="J29" s="1">
        <v>7</v>
      </c>
      <c r="K29" s="1" t="s">
        <v>301</v>
      </c>
      <c r="L29" s="1" t="s">
        <v>305</v>
      </c>
      <c r="M29" s="1">
        <v>5</v>
      </c>
      <c r="N29" s="1">
        <v>15</v>
      </c>
      <c r="O29" s="1">
        <v>105975.45</v>
      </c>
      <c r="P29" s="1">
        <f>Table1[[#This Row],[Rooms Booked]]/Table1[[#This Row],[Rooms Available]]*100</f>
        <v>6</v>
      </c>
      <c r="Q29" s="1">
        <f>Table1[[#This Row],[Revenue]]/Table1[[#This Row],[Rooms Booked]]</f>
        <v>41559</v>
      </c>
    </row>
    <row r="30" spans="1:17" x14ac:dyDescent="0.25">
      <c r="A30" s="1" t="s">
        <v>15</v>
      </c>
      <c r="B30" s="1" t="s">
        <v>22</v>
      </c>
      <c r="C30" s="1" t="s">
        <v>52</v>
      </c>
      <c r="D30" s="1">
        <v>0</v>
      </c>
      <c r="E30" s="1" t="s">
        <v>292</v>
      </c>
      <c r="F30" s="1" t="s">
        <v>296</v>
      </c>
      <c r="G30" s="1">
        <v>50</v>
      </c>
      <c r="H30" s="1">
        <v>3</v>
      </c>
      <c r="I30" s="1" t="s">
        <v>299</v>
      </c>
      <c r="J30" s="1">
        <v>29</v>
      </c>
      <c r="K30" s="1" t="s">
        <v>301</v>
      </c>
      <c r="L30" s="1" t="s">
        <v>303</v>
      </c>
      <c r="M30" s="1">
        <v>3</v>
      </c>
      <c r="N30" s="1">
        <v>0</v>
      </c>
      <c r="O30" s="1">
        <v>0</v>
      </c>
      <c r="P30" s="1">
        <f>Table1[[#This Row],[Rooms Booked]]/Table1[[#This Row],[Rooms Available]]*100</f>
        <v>6</v>
      </c>
      <c r="Q30" s="1">
        <f>Table1[[#This Row],[Revenue]]/Table1[[#This Row],[Rooms Booked]]</f>
        <v>0</v>
      </c>
    </row>
    <row r="31" spans="1:17" x14ac:dyDescent="0.25">
      <c r="A31" s="1" t="s">
        <v>20</v>
      </c>
      <c r="B31" s="1" t="s">
        <v>21</v>
      </c>
      <c r="C31" s="1" t="s">
        <v>53</v>
      </c>
      <c r="D31" s="1">
        <v>0</v>
      </c>
      <c r="E31" s="1" t="s">
        <v>294</v>
      </c>
      <c r="F31" s="1" t="s">
        <v>297</v>
      </c>
      <c r="G31" s="1">
        <v>50</v>
      </c>
      <c r="H31" s="1">
        <v>3</v>
      </c>
      <c r="I31" s="1" t="s">
        <v>299</v>
      </c>
      <c r="J31" s="1">
        <v>2</v>
      </c>
      <c r="K31" s="1" t="s">
        <v>301</v>
      </c>
      <c r="L31" s="1" t="s">
        <v>303</v>
      </c>
      <c r="M31" s="1">
        <v>1</v>
      </c>
      <c r="N31" s="1">
        <v>0</v>
      </c>
      <c r="O31" s="1">
        <v>0</v>
      </c>
      <c r="P31" s="1">
        <f>Table1[[#This Row],[Rooms Booked]]/Table1[[#This Row],[Rooms Available]]*100</f>
        <v>6</v>
      </c>
      <c r="Q31" s="1">
        <f>Table1[[#This Row],[Revenue]]/Table1[[#This Row],[Rooms Booked]]</f>
        <v>0</v>
      </c>
    </row>
    <row r="32" spans="1:17" x14ac:dyDescent="0.25">
      <c r="A32" s="1" t="s">
        <v>19</v>
      </c>
      <c r="B32" s="1" t="s">
        <v>23</v>
      </c>
      <c r="C32" s="1" t="s">
        <v>54</v>
      </c>
      <c r="D32" s="1">
        <v>116073</v>
      </c>
      <c r="E32" s="1" t="s">
        <v>293</v>
      </c>
      <c r="F32" s="1" t="s">
        <v>297</v>
      </c>
      <c r="G32" s="1">
        <v>50</v>
      </c>
      <c r="H32" s="1">
        <v>3</v>
      </c>
      <c r="I32" s="1" t="s">
        <v>298</v>
      </c>
      <c r="J32" s="1">
        <v>29</v>
      </c>
      <c r="K32" s="1" t="s">
        <v>300</v>
      </c>
      <c r="L32" s="1" t="s">
        <v>303</v>
      </c>
      <c r="M32" s="1">
        <v>3</v>
      </c>
      <c r="N32" s="1">
        <v>5</v>
      </c>
      <c r="O32" s="1">
        <v>110269.35</v>
      </c>
      <c r="P32" s="1">
        <f>Table1[[#This Row],[Rooms Booked]]/Table1[[#This Row],[Rooms Available]]*100</f>
        <v>6</v>
      </c>
      <c r="Q32" s="1">
        <f>Table1[[#This Row],[Revenue]]/Table1[[#This Row],[Rooms Booked]]</f>
        <v>38691</v>
      </c>
    </row>
    <row r="33" spans="1:17" x14ac:dyDescent="0.25">
      <c r="A33" s="1" t="s">
        <v>16</v>
      </c>
      <c r="B33" s="1" t="s">
        <v>22</v>
      </c>
      <c r="C33" s="1" t="s">
        <v>55</v>
      </c>
      <c r="D33" s="1">
        <v>35469</v>
      </c>
      <c r="E33" s="1" t="s">
        <v>292</v>
      </c>
      <c r="F33" s="1" t="s">
        <v>296</v>
      </c>
      <c r="G33" s="1">
        <v>50</v>
      </c>
      <c r="H33" s="1">
        <v>1</v>
      </c>
      <c r="I33" s="1" t="s">
        <v>298</v>
      </c>
      <c r="J33" s="1">
        <v>19</v>
      </c>
      <c r="K33" s="1" t="s">
        <v>301</v>
      </c>
      <c r="L33" s="1" t="s">
        <v>305</v>
      </c>
      <c r="M33" s="1">
        <v>1</v>
      </c>
      <c r="N33" s="1">
        <v>15</v>
      </c>
      <c r="O33" s="1">
        <v>30148.65</v>
      </c>
      <c r="P33" s="1">
        <f>Table1[[#This Row],[Rooms Booked]]/Table1[[#This Row],[Rooms Available]]*100</f>
        <v>2</v>
      </c>
      <c r="Q33" s="1">
        <f>Table1[[#This Row],[Revenue]]/Table1[[#This Row],[Rooms Booked]]</f>
        <v>35469</v>
      </c>
    </row>
    <row r="34" spans="1:17" x14ac:dyDescent="0.25">
      <c r="A34" s="1" t="s">
        <v>15</v>
      </c>
      <c r="B34" s="1" t="s">
        <v>22</v>
      </c>
      <c r="C34" s="1" t="s">
        <v>56</v>
      </c>
      <c r="D34" s="1">
        <v>92220</v>
      </c>
      <c r="E34" s="1" t="s">
        <v>293</v>
      </c>
      <c r="F34" s="1" t="s">
        <v>296</v>
      </c>
      <c r="G34" s="1">
        <v>50</v>
      </c>
      <c r="H34" s="1">
        <v>5</v>
      </c>
      <c r="I34" s="1" t="s">
        <v>298</v>
      </c>
      <c r="J34" s="1">
        <v>9</v>
      </c>
      <c r="K34" s="1" t="s">
        <v>301</v>
      </c>
      <c r="L34" s="1" t="s">
        <v>306</v>
      </c>
      <c r="M34" s="1">
        <v>3</v>
      </c>
      <c r="N34" s="1">
        <v>15</v>
      </c>
      <c r="O34" s="1">
        <v>78387</v>
      </c>
      <c r="P34" s="1">
        <f>Table1[[#This Row],[Rooms Booked]]/Table1[[#This Row],[Rooms Available]]*100</f>
        <v>10</v>
      </c>
      <c r="Q34" s="1">
        <f>Table1[[#This Row],[Revenue]]/Table1[[#This Row],[Rooms Booked]]</f>
        <v>18444</v>
      </c>
    </row>
    <row r="35" spans="1:17" x14ac:dyDescent="0.25">
      <c r="A35" s="1" t="s">
        <v>16</v>
      </c>
      <c r="B35" s="1" t="s">
        <v>21</v>
      </c>
      <c r="C35" s="1" t="s">
        <v>57</v>
      </c>
      <c r="D35" s="1">
        <v>0</v>
      </c>
      <c r="E35" s="1" t="s">
        <v>292</v>
      </c>
      <c r="F35" s="1" t="s">
        <v>295</v>
      </c>
      <c r="G35" s="1">
        <v>50</v>
      </c>
      <c r="H35" s="1">
        <v>4</v>
      </c>
      <c r="I35" s="1" t="s">
        <v>299</v>
      </c>
      <c r="J35" s="1">
        <v>6</v>
      </c>
      <c r="K35" s="1" t="s">
        <v>301</v>
      </c>
      <c r="L35" s="1" t="s">
        <v>305</v>
      </c>
      <c r="M35" s="1">
        <v>3</v>
      </c>
      <c r="N35" s="1">
        <v>10</v>
      </c>
      <c r="O35" s="1">
        <v>0</v>
      </c>
      <c r="P35" s="1">
        <f>Table1[[#This Row],[Rooms Booked]]/Table1[[#This Row],[Rooms Available]]*100</f>
        <v>8</v>
      </c>
      <c r="Q35" s="1">
        <f>Table1[[#This Row],[Revenue]]/Table1[[#This Row],[Rooms Booked]]</f>
        <v>0</v>
      </c>
    </row>
    <row r="36" spans="1:17" x14ac:dyDescent="0.25">
      <c r="A36" s="1" t="s">
        <v>15</v>
      </c>
      <c r="B36" s="1" t="s">
        <v>23</v>
      </c>
      <c r="C36" s="1" t="s">
        <v>58</v>
      </c>
      <c r="D36" s="1">
        <v>9105</v>
      </c>
      <c r="E36" s="1" t="s">
        <v>293</v>
      </c>
      <c r="F36" s="1" t="s">
        <v>295</v>
      </c>
      <c r="G36" s="1">
        <v>50</v>
      </c>
      <c r="H36" s="1">
        <v>1</v>
      </c>
      <c r="I36" s="1" t="s">
        <v>298</v>
      </c>
      <c r="J36" s="1">
        <v>25</v>
      </c>
      <c r="K36" s="1" t="s">
        <v>300</v>
      </c>
      <c r="L36" s="1" t="s">
        <v>306</v>
      </c>
      <c r="M36" s="1">
        <v>5</v>
      </c>
      <c r="N36" s="1">
        <v>15</v>
      </c>
      <c r="O36" s="1">
        <v>7739.25</v>
      </c>
      <c r="P36" s="1">
        <f>Table1[[#This Row],[Rooms Booked]]/Table1[[#This Row],[Rooms Available]]*100</f>
        <v>2</v>
      </c>
      <c r="Q36" s="1">
        <f>Table1[[#This Row],[Revenue]]/Table1[[#This Row],[Rooms Booked]]</f>
        <v>9105</v>
      </c>
    </row>
    <row r="37" spans="1:17" x14ac:dyDescent="0.25">
      <c r="A37" s="1" t="s">
        <v>20</v>
      </c>
      <c r="B37" s="1" t="s">
        <v>21</v>
      </c>
      <c r="C37" s="1" t="s">
        <v>59</v>
      </c>
      <c r="D37" s="1">
        <v>29932</v>
      </c>
      <c r="E37" s="1" t="s">
        <v>292</v>
      </c>
      <c r="F37" s="1" t="s">
        <v>296</v>
      </c>
      <c r="G37" s="1">
        <v>50</v>
      </c>
      <c r="H37" s="1">
        <v>2</v>
      </c>
      <c r="I37" s="1" t="s">
        <v>298</v>
      </c>
      <c r="J37" s="1">
        <v>16</v>
      </c>
      <c r="K37" s="1" t="s">
        <v>300</v>
      </c>
      <c r="L37" s="1" t="s">
        <v>304</v>
      </c>
      <c r="M37" s="1">
        <v>4</v>
      </c>
      <c r="N37" s="1">
        <v>0</v>
      </c>
      <c r="O37" s="1">
        <v>29932</v>
      </c>
      <c r="P37" s="1">
        <f>Table1[[#This Row],[Rooms Booked]]/Table1[[#This Row],[Rooms Available]]*100</f>
        <v>4</v>
      </c>
      <c r="Q37" s="1">
        <f>Table1[[#This Row],[Revenue]]/Table1[[#This Row],[Rooms Booked]]</f>
        <v>14966</v>
      </c>
    </row>
    <row r="38" spans="1:17" x14ac:dyDescent="0.25">
      <c r="A38" s="1" t="s">
        <v>15</v>
      </c>
      <c r="B38" s="1" t="s">
        <v>23</v>
      </c>
      <c r="C38" s="1" t="s">
        <v>60</v>
      </c>
      <c r="D38" s="1">
        <v>45520</v>
      </c>
      <c r="E38" s="1" t="s">
        <v>293</v>
      </c>
      <c r="F38" s="1" t="s">
        <v>296</v>
      </c>
      <c r="G38" s="1">
        <v>50</v>
      </c>
      <c r="H38" s="1">
        <v>4</v>
      </c>
      <c r="I38" s="1" t="s">
        <v>298</v>
      </c>
      <c r="J38" s="1">
        <v>11</v>
      </c>
      <c r="K38" s="1" t="s">
        <v>300</v>
      </c>
      <c r="L38" s="1" t="s">
        <v>302</v>
      </c>
      <c r="M38" s="1">
        <v>1</v>
      </c>
      <c r="N38" s="1">
        <v>15</v>
      </c>
      <c r="O38" s="1">
        <v>38692</v>
      </c>
      <c r="P38" s="1">
        <f>Table1[[#This Row],[Rooms Booked]]/Table1[[#This Row],[Rooms Available]]*100</f>
        <v>8</v>
      </c>
      <c r="Q38" s="1">
        <f>Table1[[#This Row],[Revenue]]/Table1[[#This Row],[Rooms Booked]]</f>
        <v>11380</v>
      </c>
    </row>
    <row r="39" spans="1:17" x14ac:dyDescent="0.25">
      <c r="A39" s="1" t="s">
        <v>19</v>
      </c>
      <c r="B39" s="1" t="s">
        <v>23</v>
      </c>
      <c r="C39" s="1" t="s">
        <v>61</v>
      </c>
      <c r="D39" s="1">
        <v>20285</v>
      </c>
      <c r="E39" s="1" t="s">
        <v>294</v>
      </c>
      <c r="F39" s="1" t="s">
        <v>297</v>
      </c>
      <c r="G39" s="1">
        <v>50</v>
      </c>
      <c r="H39" s="1">
        <v>5</v>
      </c>
      <c r="I39" s="1" t="s">
        <v>298</v>
      </c>
      <c r="J39" s="1">
        <v>8</v>
      </c>
      <c r="K39" s="1" t="s">
        <v>301</v>
      </c>
      <c r="L39" s="1" t="s">
        <v>305</v>
      </c>
      <c r="M39" s="1">
        <v>5</v>
      </c>
      <c r="N39" s="1">
        <v>0</v>
      </c>
      <c r="O39" s="1">
        <v>20285</v>
      </c>
      <c r="P39" s="1">
        <f>Table1[[#This Row],[Rooms Booked]]/Table1[[#This Row],[Rooms Available]]*100</f>
        <v>10</v>
      </c>
      <c r="Q39" s="1">
        <f>Table1[[#This Row],[Revenue]]/Table1[[#This Row],[Rooms Booked]]</f>
        <v>4057</v>
      </c>
    </row>
    <row r="40" spans="1:17" x14ac:dyDescent="0.25">
      <c r="A40" s="1" t="s">
        <v>15</v>
      </c>
      <c r="B40" s="1" t="s">
        <v>22</v>
      </c>
      <c r="C40" s="1" t="s">
        <v>62</v>
      </c>
      <c r="D40" s="1">
        <v>49820</v>
      </c>
      <c r="E40" s="1" t="s">
        <v>293</v>
      </c>
      <c r="F40" s="1" t="s">
        <v>297</v>
      </c>
      <c r="G40" s="1">
        <v>50</v>
      </c>
      <c r="H40" s="1">
        <v>4</v>
      </c>
      <c r="I40" s="1" t="s">
        <v>298</v>
      </c>
      <c r="J40" s="1">
        <v>22</v>
      </c>
      <c r="K40" s="1" t="s">
        <v>300</v>
      </c>
      <c r="L40" s="1" t="s">
        <v>303</v>
      </c>
      <c r="M40" s="1">
        <v>2</v>
      </c>
      <c r="N40" s="1">
        <v>5</v>
      </c>
      <c r="O40" s="1">
        <v>47329</v>
      </c>
      <c r="P40" s="1">
        <f>Table1[[#This Row],[Rooms Booked]]/Table1[[#This Row],[Rooms Available]]*100</f>
        <v>8</v>
      </c>
      <c r="Q40" s="1">
        <f>Table1[[#This Row],[Revenue]]/Table1[[#This Row],[Rooms Booked]]</f>
        <v>12455</v>
      </c>
    </row>
    <row r="41" spans="1:17" x14ac:dyDescent="0.25">
      <c r="A41" s="1" t="s">
        <v>19</v>
      </c>
      <c r="B41" s="1" t="s">
        <v>21</v>
      </c>
      <c r="C41" s="1" t="s">
        <v>63</v>
      </c>
      <c r="D41" s="1">
        <v>212340</v>
      </c>
      <c r="E41" s="1" t="s">
        <v>291</v>
      </c>
      <c r="F41" s="1" t="s">
        <v>296</v>
      </c>
      <c r="G41" s="1">
        <v>50</v>
      </c>
      <c r="H41" s="1">
        <v>5</v>
      </c>
      <c r="I41" s="1" t="s">
        <v>298</v>
      </c>
      <c r="J41" s="1">
        <v>7</v>
      </c>
      <c r="K41" s="1" t="s">
        <v>300</v>
      </c>
      <c r="L41" s="1" t="s">
        <v>303</v>
      </c>
      <c r="M41" s="1">
        <v>5</v>
      </c>
      <c r="N41" s="1">
        <v>15</v>
      </c>
      <c r="O41" s="1">
        <v>180489</v>
      </c>
      <c r="P41" s="1">
        <f>Table1[[#This Row],[Rooms Booked]]/Table1[[#This Row],[Rooms Available]]*100</f>
        <v>10</v>
      </c>
      <c r="Q41" s="1">
        <f>Table1[[#This Row],[Revenue]]/Table1[[#This Row],[Rooms Booked]]</f>
        <v>42468</v>
      </c>
    </row>
    <row r="42" spans="1:17" x14ac:dyDescent="0.25">
      <c r="A42" s="1" t="s">
        <v>15</v>
      </c>
      <c r="B42" s="1" t="s">
        <v>22</v>
      </c>
      <c r="C42" s="1" t="s">
        <v>64</v>
      </c>
      <c r="D42" s="1">
        <v>73284</v>
      </c>
      <c r="E42" s="1" t="s">
        <v>293</v>
      </c>
      <c r="F42" s="1" t="s">
        <v>295</v>
      </c>
      <c r="G42" s="1">
        <v>50</v>
      </c>
      <c r="H42" s="1">
        <v>3</v>
      </c>
      <c r="I42" s="1" t="s">
        <v>298</v>
      </c>
      <c r="J42" s="1">
        <v>21</v>
      </c>
      <c r="K42" s="1" t="s">
        <v>301</v>
      </c>
      <c r="L42" s="1" t="s">
        <v>306</v>
      </c>
      <c r="M42" s="1">
        <v>5</v>
      </c>
      <c r="N42" s="1">
        <v>0</v>
      </c>
      <c r="O42" s="1">
        <v>73284</v>
      </c>
      <c r="P42" s="1">
        <f>Table1[[#This Row],[Rooms Booked]]/Table1[[#This Row],[Rooms Available]]*100</f>
        <v>6</v>
      </c>
      <c r="Q42" s="1">
        <f>Table1[[#This Row],[Revenue]]/Table1[[#This Row],[Rooms Booked]]</f>
        <v>24428</v>
      </c>
    </row>
    <row r="43" spans="1:17" x14ac:dyDescent="0.25">
      <c r="A43" s="1" t="s">
        <v>19</v>
      </c>
      <c r="B43" s="1" t="s">
        <v>22</v>
      </c>
      <c r="C43" s="1" t="s">
        <v>65</v>
      </c>
      <c r="D43" s="1">
        <v>56132</v>
      </c>
      <c r="E43" s="1" t="s">
        <v>291</v>
      </c>
      <c r="F43" s="1" t="s">
        <v>295</v>
      </c>
      <c r="G43" s="1">
        <v>50</v>
      </c>
      <c r="H43" s="1">
        <v>1</v>
      </c>
      <c r="I43" s="1" t="s">
        <v>298</v>
      </c>
      <c r="J43" s="1">
        <v>2</v>
      </c>
      <c r="K43" s="1" t="s">
        <v>301</v>
      </c>
      <c r="L43" s="1" t="s">
        <v>306</v>
      </c>
      <c r="M43" s="1">
        <v>4</v>
      </c>
      <c r="N43" s="1">
        <v>0</v>
      </c>
      <c r="O43" s="1">
        <v>56132</v>
      </c>
      <c r="P43" s="1">
        <f>Table1[[#This Row],[Rooms Booked]]/Table1[[#This Row],[Rooms Available]]*100</f>
        <v>2</v>
      </c>
      <c r="Q43" s="1">
        <f>Table1[[#This Row],[Revenue]]/Table1[[#This Row],[Rooms Booked]]</f>
        <v>56132</v>
      </c>
    </row>
    <row r="44" spans="1:17" x14ac:dyDescent="0.25">
      <c r="A44" s="1" t="s">
        <v>16</v>
      </c>
      <c r="B44" s="1" t="s">
        <v>22</v>
      </c>
      <c r="C44" s="1" t="s">
        <v>66</v>
      </c>
      <c r="D44" s="1">
        <v>13122</v>
      </c>
      <c r="E44" s="1" t="s">
        <v>293</v>
      </c>
      <c r="F44" s="1" t="s">
        <v>295</v>
      </c>
      <c r="G44" s="1">
        <v>50</v>
      </c>
      <c r="H44" s="1">
        <v>1</v>
      </c>
      <c r="I44" s="1" t="s">
        <v>298</v>
      </c>
      <c r="J44" s="1">
        <v>6</v>
      </c>
      <c r="K44" s="1" t="s">
        <v>300</v>
      </c>
      <c r="L44" s="1" t="s">
        <v>302</v>
      </c>
      <c r="M44" s="1">
        <v>3</v>
      </c>
      <c r="N44" s="1">
        <v>0</v>
      </c>
      <c r="O44" s="1">
        <v>13122</v>
      </c>
      <c r="P44" s="1">
        <f>Table1[[#This Row],[Rooms Booked]]/Table1[[#This Row],[Rooms Available]]*100</f>
        <v>2</v>
      </c>
      <c r="Q44" s="1">
        <f>Table1[[#This Row],[Revenue]]/Table1[[#This Row],[Rooms Booked]]</f>
        <v>13122</v>
      </c>
    </row>
    <row r="45" spans="1:17" x14ac:dyDescent="0.25">
      <c r="A45" s="1" t="s">
        <v>17</v>
      </c>
      <c r="B45" s="1" t="s">
        <v>22</v>
      </c>
      <c r="C45" s="1" t="s">
        <v>67</v>
      </c>
      <c r="D45" s="1">
        <v>42630</v>
      </c>
      <c r="E45" s="1" t="s">
        <v>294</v>
      </c>
      <c r="F45" s="1" t="s">
        <v>296</v>
      </c>
      <c r="G45" s="1">
        <v>50</v>
      </c>
      <c r="H45" s="1">
        <v>1</v>
      </c>
      <c r="I45" s="1" t="s">
        <v>298</v>
      </c>
      <c r="J45" s="1">
        <v>21</v>
      </c>
      <c r="K45" s="1" t="s">
        <v>301</v>
      </c>
      <c r="L45" s="1" t="s">
        <v>302</v>
      </c>
      <c r="M45" s="1">
        <v>1</v>
      </c>
      <c r="N45" s="1">
        <v>5</v>
      </c>
      <c r="O45" s="1">
        <v>40498.5</v>
      </c>
      <c r="P45" s="1">
        <f>Table1[[#This Row],[Rooms Booked]]/Table1[[#This Row],[Rooms Available]]*100</f>
        <v>2</v>
      </c>
      <c r="Q45" s="1">
        <f>Table1[[#This Row],[Revenue]]/Table1[[#This Row],[Rooms Booked]]</f>
        <v>42630</v>
      </c>
    </row>
    <row r="46" spans="1:17" x14ac:dyDescent="0.25">
      <c r="A46" s="1" t="s">
        <v>20</v>
      </c>
      <c r="B46" s="1" t="s">
        <v>22</v>
      </c>
      <c r="C46" s="1" t="s">
        <v>68</v>
      </c>
      <c r="D46" s="1">
        <v>12858</v>
      </c>
      <c r="E46" s="1" t="s">
        <v>291</v>
      </c>
      <c r="F46" s="1" t="s">
        <v>296</v>
      </c>
      <c r="G46" s="1">
        <v>50</v>
      </c>
      <c r="H46" s="1">
        <v>3</v>
      </c>
      <c r="I46" s="1" t="s">
        <v>298</v>
      </c>
      <c r="J46" s="1">
        <v>29</v>
      </c>
      <c r="K46" s="1" t="s">
        <v>300</v>
      </c>
      <c r="L46" s="1" t="s">
        <v>305</v>
      </c>
      <c r="M46" s="1">
        <v>1</v>
      </c>
      <c r="N46" s="1">
        <v>15</v>
      </c>
      <c r="O46" s="1">
        <v>10929.3</v>
      </c>
      <c r="P46" s="1">
        <f>Table1[[#This Row],[Rooms Booked]]/Table1[[#This Row],[Rooms Available]]*100</f>
        <v>6</v>
      </c>
      <c r="Q46" s="1">
        <f>Table1[[#This Row],[Revenue]]/Table1[[#This Row],[Rooms Booked]]</f>
        <v>4286</v>
      </c>
    </row>
    <row r="47" spans="1:17" x14ac:dyDescent="0.25">
      <c r="A47" s="1" t="s">
        <v>15</v>
      </c>
      <c r="B47" s="1" t="s">
        <v>23</v>
      </c>
      <c r="C47" s="1" t="s">
        <v>69</v>
      </c>
      <c r="D47" s="1">
        <v>20088</v>
      </c>
      <c r="E47" s="1" t="s">
        <v>294</v>
      </c>
      <c r="F47" s="1" t="s">
        <v>297</v>
      </c>
      <c r="G47" s="1">
        <v>50</v>
      </c>
      <c r="H47" s="1">
        <v>4</v>
      </c>
      <c r="I47" s="1" t="s">
        <v>298</v>
      </c>
      <c r="J47" s="1">
        <v>30</v>
      </c>
      <c r="K47" s="1" t="s">
        <v>301</v>
      </c>
      <c r="L47" s="1" t="s">
        <v>306</v>
      </c>
      <c r="M47" s="1">
        <v>1</v>
      </c>
      <c r="N47" s="1">
        <v>5</v>
      </c>
      <c r="O47" s="1">
        <v>19083.599999999999</v>
      </c>
      <c r="P47" s="1">
        <f>Table1[[#This Row],[Rooms Booked]]/Table1[[#This Row],[Rooms Available]]*100</f>
        <v>8</v>
      </c>
      <c r="Q47" s="1">
        <f>Table1[[#This Row],[Revenue]]/Table1[[#This Row],[Rooms Booked]]</f>
        <v>5022</v>
      </c>
    </row>
    <row r="48" spans="1:17" x14ac:dyDescent="0.25">
      <c r="A48" s="1" t="s">
        <v>18</v>
      </c>
      <c r="B48" s="1" t="s">
        <v>21</v>
      </c>
      <c r="C48" s="1" t="s">
        <v>52</v>
      </c>
      <c r="D48" s="1">
        <v>120016</v>
      </c>
      <c r="E48" s="1" t="s">
        <v>293</v>
      </c>
      <c r="F48" s="1" t="s">
        <v>296</v>
      </c>
      <c r="G48" s="1">
        <v>50</v>
      </c>
      <c r="H48" s="1">
        <v>4</v>
      </c>
      <c r="I48" s="1" t="s">
        <v>298</v>
      </c>
      <c r="J48" s="1">
        <v>16</v>
      </c>
      <c r="K48" s="1" t="s">
        <v>300</v>
      </c>
      <c r="L48" s="1" t="s">
        <v>302</v>
      </c>
      <c r="M48" s="1">
        <v>4</v>
      </c>
      <c r="N48" s="1">
        <v>10</v>
      </c>
      <c r="O48" s="1">
        <v>108014.39999999999</v>
      </c>
      <c r="P48" s="1">
        <f>Table1[[#This Row],[Rooms Booked]]/Table1[[#This Row],[Rooms Available]]*100</f>
        <v>8</v>
      </c>
      <c r="Q48" s="1">
        <f>Table1[[#This Row],[Revenue]]/Table1[[#This Row],[Rooms Booked]]</f>
        <v>30004</v>
      </c>
    </row>
    <row r="49" spans="1:17" x14ac:dyDescent="0.25">
      <c r="A49" s="1" t="s">
        <v>15</v>
      </c>
      <c r="B49" s="1" t="s">
        <v>22</v>
      </c>
      <c r="C49" s="1" t="s">
        <v>70</v>
      </c>
      <c r="D49" s="1">
        <v>72880</v>
      </c>
      <c r="E49" s="1" t="s">
        <v>291</v>
      </c>
      <c r="F49" s="1" t="s">
        <v>295</v>
      </c>
      <c r="G49" s="1">
        <v>50</v>
      </c>
      <c r="H49" s="1">
        <v>4</v>
      </c>
      <c r="I49" s="1" t="s">
        <v>298</v>
      </c>
      <c r="J49" s="1">
        <v>12</v>
      </c>
      <c r="K49" s="1" t="s">
        <v>301</v>
      </c>
      <c r="L49" s="1" t="s">
        <v>304</v>
      </c>
      <c r="M49" s="1">
        <v>5</v>
      </c>
      <c r="N49" s="1">
        <v>5</v>
      </c>
      <c r="O49" s="1">
        <v>69236</v>
      </c>
      <c r="P49" s="1">
        <f>Table1[[#This Row],[Rooms Booked]]/Table1[[#This Row],[Rooms Available]]*100</f>
        <v>8</v>
      </c>
      <c r="Q49" s="1">
        <f>Table1[[#This Row],[Revenue]]/Table1[[#This Row],[Rooms Booked]]</f>
        <v>18220</v>
      </c>
    </row>
    <row r="50" spans="1:17" x14ac:dyDescent="0.25">
      <c r="A50" s="1" t="s">
        <v>16</v>
      </c>
      <c r="B50" s="1" t="s">
        <v>22</v>
      </c>
      <c r="C50" s="1" t="s">
        <v>71</v>
      </c>
      <c r="D50" s="1">
        <v>24836</v>
      </c>
      <c r="E50" s="1" t="s">
        <v>293</v>
      </c>
      <c r="F50" s="1" t="s">
        <v>297</v>
      </c>
      <c r="G50" s="1">
        <v>50</v>
      </c>
      <c r="H50" s="1">
        <v>2</v>
      </c>
      <c r="I50" s="1" t="s">
        <v>298</v>
      </c>
      <c r="J50" s="1">
        <v>11</v>
      </c>
      <c r="K50" s="1" t="s">
        <v>301</v>
      </c>
      <c r="L50" s="1" t="s">
        <v>305</v>
      </c>
      <c r="M50" s="1">
        <v>2</v>
      </c>
      <c r="N50" s="1">
        <v>5</v>
      </c>
      <c r="O50" s="1">
        <v>23594.2</v>
      </c>
      <c r="P50" s="1">
        <f>Table1[[#This Row],[Rooms Booked]]/Table1[[#This Row],[Rooms Available]]*100</f>
        <v>4</v>
      </c>
      <c r="Q50" s="1">
        <f>Table1[[#This Row],[Revenue]]/Table1[[#This Row],[Rooms Booked]]</f>
        <v>12418</v>
      </c>
    </row>
    <row r="51" spans="1:17" x14ac:dyDescent="0.25">
      <c r="A51" s="1" t="s">
        <v>20</v>
      </c>
      <c r="B51" s="1" t="s">
        <v>22</v>
      </c>
      <c r="C51" s="1" t="s">
        <v>72</v>
      </c>
      <c r="D51" s="1">
        <v>39204</v>
      </c>
      <c r="E51" s="1" t="s">
        <v>293</v>
      </c>
      <c r="F51" s="1" t="s">
        <v>295</v>
      </c>
      <c r="G51" s="1">
        <v>50</v>
      </c>
      <c r="H51" s="1">
        <v>3</v>
      </c>
      <c r="I51" s="1" t="s">
        <v>298</v>
      </c>
      <c r="J51" s="1">
        <v>15</v>
      </c>
      <c r="K51" s="1" t="s">
        <v>300</v>
      </c>
      <c r="L51" s="1" t="s">
        <v>304</v>
      </c>
      <c r="M51" s="1">
        <v>5</v>
      </c>
      <c r="N51" s="1">
        <v>0</v>
      </c>
      <c r="O51" s="1">
        <v>39204</v>
      </c>
      <c r="P51" s="1">
        <f>Table1[[#This Row],[Rooms Booked]]/Table1[[#This Row],[Rooms Available]]*100</f>
        <v>6</v>
      </c>
      <c r="Q51" s="1">
        <f>Table1[[#This Row],[Revenue]]/Table1[[#This Row],[Rooms Booked]]</f>
        <v>13068</v>
      </c>
    </row>
    <row r="52" spans="1:17" x14ac:dyDescent="0.25">
      <c r="A52" s="1" t="s">
        <v>18</v>
      </c>
      <c r="B52" s="1" t="s">
        <v>23</v>
      </c>
      <c r="C52" s="1" t="s">
        <v>28</v>
      </c>
      <c r="D52" s="1">
        <v>36700</v>
      </c>
      <c r="E52" s="1" t="s">
        <v>291</v>
      </c>
      <c r="F52" s="1" t="s">
        <v>295</v>
      </c>
      <c r="G52" s="1">
        <v>50</v>
      </c>
      <c r="H52" s="1">
        <v>1</v>
      </c>
      <c r="I52" s="1" t="s">
        <v>298</v>
      </c>
      <c r="J52" s="1">
        <v>25</v>
      </c>
      <c r="K52" s="1" t="s">
        <v>300</v>
      </c>
      <c r="L52" s="1" t="s">
        <v>304</v>
      </c>
      <c r="M52" s="1">
        <v>5</v>
      </c>
      <c r="N52" s="1">
        <v>15</v>
      </c>
      <c r="O52" s="1">
        <v>31195</v>
      </c>
      <c r="P52" s="1">
        <f>Table1[[#This Row],[Rooms Booked]]/Table1[[#This Row],[Rooms Available]]*100</f>
        <v>2</v>
      </c>
      <c r="Q52" s="1">
        <f>Table1[[#This Row],[Revenue]]/Table1[[#This Row],[Rooms Booked]]</f>
        <v>36700</v>
      </c>
    </row>
    <row r="53" spans="1:17" x14ac:dyDescent="0.25">
      <c r="A53" s="1" t="s">
        <v>15</v>
      </c>
      <c r="B53" s="1" t="s">
        <v>22</v>
      </c>
      <c r="C53" s="1" t="s">
        <v>73</v>
      </c>
      <c r="D53" s="1">
        <v>4139</v>
      </c>
      <c r="E53" s="1" t="s">
        <v>292</v>
      </c>
      <c r="F53" s="1" t="s">
        <v>296</v>
      </c>
      <c r="G53" s="1">
        <v>50</v>
      </c>
      <c r="H53" s="1">
        <v>1</v>
      </c>
      <c r="I53" s="1" t="s">
        <v>298</v>
      </c>
      <c r="J53" s="1">
        <v>4</v>
      </c>
      <c r="K53" s="1" t="s">
        <v>300</v>
      </c>
      <c r="L53" s="1" t="s">
        <v>305</v>
      </c>
      <c r="M53" s="1">
        <v>2</v>
      </c>
      <c r="N53" s="1">
        <v>0</v>
      </c>
      <c r="O53" s="1">
        <v>4139</v>
      </c>
      <c r="P53" s="1">
        <f>Table1[[#This Row],[Rooms Booked]]/Table1[[#This Row],[Rooms Available]]*100</f>
        <v>2</v>
      </c>
      <c r="Q53" s="1">
        <f>Table1[[#This Row],[Revenue]]/Table1[[#This Row],[Rooms Booked]]</f>
        <v>4139</v>
      </c>
    </row>
    <row r="54" spans="1:17" x14ac:dyDescent="0.25">
      <c r="A54" s="1" t="s">
        <v>18</v>
      </c>
      <c r="B54" s="1" t="s">
        <v>21</v>
      </c>
      <c r="C54" s="1" t="s">
        <v>74</v>
      </c>
      <c r="D54" s="1">
        <v>0</v>
      </c>
      <c r="E54" s="1" t="s">
        <v>294</v>
      </c>
      <c r="F54" s="1" t="s">
        <v>295</v>
      </c>
      <c r="G54" s="1">
        <v>50</v>
      </c>
      <c r="H54" s="1">
        <v>3</v>
      </c>
      <c r="I54" s="1" t="s">
        <v>299</v>
      </c>
      <c r="J54" s="1">
        <v>23</v>
      </c>
      <c r="K54" s="1" t="s">
        <v>300</v>
      </c>
      <c r="L54" s="1" t="s">
        <v>305</v>
      </c>
      <c r="M54" s="1">
        <v>4</v>
      </c>
      <c r="N54" s="1">
        <v>15</v>
      </c>
      <c r="O54" s="1">
        <v>0</v>
      </c>
      <c r="P54" s="1">
        <f>Table1[[#This Row],[Rooms Booked]]/Table1[[#This Row],[Rooms Available]]*100</f>
        <v>6</v>
      </c>
      <c r="Q54" s="1">
        <f>Table1[[#This Row],[Revenue]]/Table1[[#This Row],[Rooms Booked]]</f>
        <v>0</v>
      </c>
    </row>
    <row r="55" spans="1:17" x14ac:dyDescent="0.25">
      <c r="A55" s="1" t="s">
        <v>20</v>
      </c>
      <c r="B55" s="1" t="s">
        <v>23</v>
      </c>
      <c r="C55" s="1" t="s">
        <v>75</v>
      </c>
      <c r="D55" s="1">
        <v>57876</v>
      </c>
      <c r="E55" s="1" t="s">
        <v>293</v>
      </c>
      <c r="F55" s="1" t="s">
        <v>295</v>
      </c>
      <c r="G55" s="1">
        <v>50</v>
      </c>
      <c r="H55" s="1">
        <v>3</v>
      </c>
      <c r="I55" s="1" t="s">
        <v>298</v>
      </c>
      <c r="J55" s="1">
        <v>15</v>
      </c>
      <c r="K55" s="1" t="s">
        <v>301</v>
      </c>
      <c r="L55" s="1" t="s">
        <v>303</v>
      </c>
      <c r="M55" s="1">
        <v>3</v>
      </c>
      <c r="N55" s="1">
        <v>5</v>
      </c>
      <c r="O55" s="1">
        <v>54982.2</v>
      </c>
      <c r="P55" s="1">
        <f>Table1[[#This Row],[Rooms Booked]]/Table1[[#This Row],[Rooms Available]]*100</f>
        <v>6</v>
      </c>
      <c r="Q55" s="1">
        <f>Table1[[#This Row],[Revenue]]/Table1[[#This Row],[Rooms Booked]]</f>
        <v>19292</v>
      </c>
    </row>
    <row r="56" spans="1:17" x14ac:dyDescent="0.25">
      <c r="A56" s="1" t="s">
        <v>16</v>
      </c>
      <c r="B56" s="1" t="s">
        <v>23</v>
      </c>
      <c r="C56" s="1" t="s">
        <v>76</v>
      </c>
      <c r="D56" s="1">
        <v>81144</v>
      </c>
      <c r="E56" s="1" t="s">
        <v>293</v>
      </c>
      <c r="F56" s="1" t="s">
        <v>295</v>
      </c>
      <c r="G56" s="1">
        <v>50</v>
      </c>
      <c r="H56" s="1">
        <v>2</v>
      </c>
      <c r="I56" s="1" t="s">
        <v>298</v>
      </c>
      <c r="J56" s="1">
        <v>29</v>
      </c>
      <c r="K56" s="1" t="s">
        <v>301</v>
      </c>
      <c r="L56" s="1" t="s">
        <v>304</v>
      </c>
      <c r="M56" s="1">
        <v>5</v>
      </c>
      <c r="N56" s="1">
        <v>0</v>
      </c>
      <c r="O56" s="1">
        <v>81144</v>
      </c>
      <c r="P56" s="1">
        <f>Table1[[#This Row],[Rooms Booked]]/Table1[[#This Row],[Rooms Available]]*100</f>
        <v>4</v>
      </c>
      <c r="Q56" s="1">
        <f>Table1[[#This Row],[Revenue]]/Table1[[#This Row],[Rooms Booked]]</f>
        <v>40572</v>
      </c>
    </row>
    <row r="57" spans="1:17" x14ac:dyDescent="0.25">
      <c r="A57" s="1" t="s">
        <v>15</v>
      </c>
      <c r="B57" s="1" t="s">
        <v>23</v>
      </c>
      <c r="C57" s="1" t="s">
        <v>77</v>
      </c>
      <c r="D57" s="1">
        <v>0</v>
      </c>
      <c r="E57" s="1" t="s">
        <v>291</v>
      </c>
      <c r="F57" s="1" t="s">
        <v>295</v>
      </c>
      <c r="G57" s="1">
        <v>50</v>
      </c>
      <c r="H57" s="1">
        <v>3</v>
      </c>
      <c r="I57" s="1" t="s">
        <v>299</v>
      </c>
      <c r="J57" s="1">
        <v>20</v>
      </c>
      <c r="K57" s="1" t="s">
        <v>301</v>
      </c>
      <c r="L57" s="1" t="s">
        <v>303</v>
      </c>
      <c r="M57" s="1">
        <v>1</v>
      </c>
      <c r="N57" s="1">
        <v>10</v>
      </c>
      <c r="O57" s="1">
        <v>0</v>
      </c>
      <c r="P57" s="1">
        <f>Table1[[#This Row],[Rooms Booked]]/Table1[[#This Row],[Rooms Available]]*100</f>
        <v>6</v>
      </c>
      <c r="Q57" s="1">
        <f>Table1[[#This Row],[Revenue]]/Table1[[#This Row],[Rooms Booked]]</f>
        <v>0</v>
      </c>
    </row>
    <row r="58" spans="1:17" x14ac:dyDescent="0.25">
      <c r="A58" s="1" t="s">
        <v>15</v>
      </c>
      <c r="B58" s="1" t="s">
        <v>22</v>
      </c>
      <c r="C58" s="1" t="s">
        <v>73</v>
      </c>
      <c r="D58" s="1">
        <v>56945</v>
      </c>
      <c r="E58" s="1" t="s">
        <v>293</v>
      </c>
      <c r="F58" s="1" t="s">
        <v>296</v>
      </c>
      <c r="G58" s="1">
        <v>50</v>
      </c>
      <c r="H58" s="1">
        <v>5</v>
      </c>
      <c r="I58" s="1" t="s">
        <v>298</v>
      </c>
      <c r="J58" s="1">
        <v>30</v>
      </c>
      <c r="K58" s="1" t="s">
        <v>300</v>
      </c>
      <c r="L58" s="1" t="s">
        <v>303</v>
      </c>
      <c r="M58" s="1">
        <v>3</v>
      </c>
      <c r="N58" s="1">
        <v>5</v>
      </c>
      <c r="O58" s="1">
        <v>54097.75</v>
      </c>
      <c r="P58" s="1">
        <f>Table1[[#This Row],[Rooms Booked]]/Table1[[#This Row],[Rooms Available]]*100</f>
        <v>10</v>
      </c>
      <c r="Q58" s="1">
        <f>Table1[[#This Row],[Revenue]]/Table1[[#This Row],[Rooms Booked]]</f>
        <v>11389</v>
      </c>
    </row>
    <row r="59" spans="1:17" x14ac:dyDescent="0.25">
      <c r="A59" s="1" t="s">
        <v>16</v>
      </c>
      <c r="B59" s="1" t="s">
        <v>23</v>
      </c>
      <c r="C59" s="1" t="s">
        <v>78</v>
      </c>
      <c r="D59" s="1">
        <v>27306</v>
      </c>
      <c r="E59" s="1" t="s">
        <v>294</v>
      </c>
      <c r="F59" s="1" t="s">
        <v>296</v>
      </c>
      <c r="G59" s="1">
        <v>50</v>
      </c>
      <c r="H59" s="1">
        <v>2</v>
      </c>
      <c r="I59" s="1" t="s">
        <v>298</v>
      </c>
      <c r="J59" s="1">
        <v>9</v>
      </c>
      <c r="K59" s="1" t="s">
        <v>301</v>
      </c>
      <c r="L59" s="1" t="s">
        <v>303</v>
      </c>
      <c r="M59" s="1">
        <v>1</v>
      </c>
      <c r="N59" s="1">
        <v>0</v>
      </c>
      <c r="O59" s="1">
        <v>27306</v>
      </c>
      <c r="P59" s="1">
        <f>Table1[[#This Row],[Rooms Booked]]/Table1[[#This Row],[Rooms Available]]*100</f>
        <v>4</v>
      </c>
      <c r="Q59" s="1">
        <f>Table1[[#This Row],[Revenue]]/Table1[[#This Row],[Rooms Booked]]</f>
        <v>13653</v>
      </c>
    </row>
    <row r="60" spans="1:17" x14ac:dyDescent="0.25">
      <c r="A60" s="1" t="s">
        <v>16</v>
      </c>
      <c r="B60" s="1" t="s">
        <v>21</v>
      </c>
      <c r="C60" s="1" t="s">
        <v>79</v>
      </c>
      <c r="D60" s="1">
        <v>27222</v>
      </c>
      <c r="E60" s="1" t="s">
        <v>293</v>
      </c>
      <c r="F60" s="1" t="s">
        <v>295</v>
      </c>
      <c r="G60" s="1">
        <v>50</v>
      </c>
      <c r="H60" s="1">
        <v>2</v>
      </c>
      <c r="I60" s="1" t="s">
        <v>298</v>
      </c>
      <c r="J60" s="1">
        <v>1</v>
      </c>
      <c r="K60" s="1" t="s">
        <v>300</v>
      </c>
      <c r="L60" s="1" t="s">
        <v>305</v>
      </c>
      <c r="M60" s="1">
        <v>4</v>
      </c>
      <c r="N60" s="1">
        <v>5</v>
      </c>
      <c r="O60" s="1">
        <v>25860.9</v>
      </c>
      <c r="P60" s="1">
        <f>Table1[[#This Row],[Rooms Booked]]/Table1[[#This Row],[Rooms Available]]*100</f>
        <v>4</v>
      </c>
      <c r="Q60" s="1">
        <f>Table1[[#This Row],[Revenue]]/Table1[[#This Row],[Rooms Booked]]</f>
        <v>13611</v>
      </c>
    </row>
    <row r="61" spans="1:17" x14ac:dyDescent="0.25">
      <c r="A61" s="1" t="s">
        <v>18</v>
      </c>
      <c r="B61" s="1" t="s">
        <v>23</v>
      </c>
      <c r="C61" s="1" t="s">
        <v>74</v>
      </c>
      <c r="D61" s="1">
        <v>21794</v>
      </c>
      <c r="E61" s="1" t="s">
        <v>293</v>
      </c>
      <c r="F61" s="1" t="s">
        <v>295</v>
      </c>
      <c r="G61" s="1">
        <v>50</v>
      </c>
      <c r="H61" s="1">
        <v>1</v>
      </c>
      <c r="I61" s="1" t="s">
        <v>298</v>
      </c>
      <c r="J61" s="1">
        <v>22</v>
      </c>
      <c r="K61" s="1" t="s">
        <v>300</v>
      </c>
      <c r="L61" s="1" t="s">
        <v>302</v>
      </c>
      <c r="M61" s="1">
        <v>5</v>
      </c>
      <c r="N61" s="1">
        <v>10</v>
      </c>
      <c r="O61" s="1">
        <v>19614.599999999999</v>
      </c>
      <c r="P61" s="1">
        <f>Table1[[#This Row],[Rooms Booked]]/Table1[[#This Row],[Rooms Available]]*100</f>
        <v>2</v>
      </c>
      <c r="Q61" s="1">
        <f>Table1[[#This Row],[Revenue]]/Table1[[#This Row],[Rooms Booked]]</f>
        <v>21794</v>
      </c>
    </row>
    <row r="62" spans="1:17" x14ac:dyDescent="0.25">
      <c r="A62" s="1" t="s">
        <v>16</v>
      </c>
      <c r="B62" s="1" t="s">
        <v>23</v>
      </c>
      <c r="C62" s="1" t="s">
        <v>80</v>
      </c>
      <c r="D62" s="1">
        <v>35040</v>
      </c>
      <c r="E62" s="1" t="s">
        <v>292</v>
      </c>
      <c r="F62" s="1" t="s">
        <v>297</v>
      </c>
      <c r="G62" s="1">
        <v>50</v>
      </c>
      <c r="H62" s="1">
        <v>4</v>
      </c>
      <c r="I62" s="1" t="s">
        <v>298</v>
      </c>
      <c r="J62" s="1">
        <v>4</v>
      </c>
      <c r="K62" s="1" t="s">
        <v>301</v>
      </c>
      <c r="L62" s="1" t="s">
        <v>302</v>
      </c>
      <c r="M62" s="1">
        <v>4</v>
      </c>
      <c r="N62" s="1">
        <v>10</v>
      </c>
      <c r="O62" s="1">
        <v>31536</v>
      </c>
      <c r="P62" s="1">
        <f>Table1[[#This Row],[Rooms Booked]]/Table1[[#This Row],[Rooms Available]]*100</f>
        <v>8</v>
      </c>
      <c r="Q62" s="1">
        <f>Table1[[#This Row],[Revenue]]/Table1[[#This Row],[Rooms Booked]]</f>
        <v>8760</v>
      </c>
    </row>
    <row r="63" spans="1:17" x14ac:dyDescent="0.25">
      <c r="A63" s="1" t="s">
        <v>20</v>
      </c>
      <c r="B63" s="1" t="s">
        <v>22</v>
      </c>
      <c r="C63" s="1" t="s">
        <v>81</v>
      </c>
      <c r="D63" s="1">
        <v>27964</v>
      </c>
      <c r="E63" s="1" t="s">
        <v>291</v>
      </c>
      <c r="F63" s="1" t="s">
        <v>295</v>
      </c>
      <c r="G63" s="1">
        <v>50</v>
      </c>
      <c r="H63" s="1">
        <v>2</v>
      </c>
      <c r="I63" s="1" t="s">
        <v>298</v>
      </c>
      <c r="J63" s="1">
        <v>30</v>
      </c>
      <c r="K63" s="1" t="s">
        <v>301</v>
      </c>
      <c r="L63" s="1" t="s">
        <v>303</v>
      </c>
      <c r="M63" s="1">
        <v>5</v>
      </c>
      <c r="N63" s="1">
        <v>15</v>
      </c>
      <c r="O63" s="1">
        <v>23769.4</v>
      </c>
      <c r="P63" s="1">
        <f>Table1[[#This Row],[Rooms Booked]]/Table1[[#This Row],[Rooms Available]]*100</f>
        <v>4</v>
      </c>
      <c r="Q63" s="1">
        <f>Table1[[#This Row],[Revenue]]/Table1[[#This Row],[Rooms Booked]]</f>
        <v>13982</v>
      </c>
    </row>
    <row r="64" spans="1:17" x14ac:dyDescent="0.25">
      <c r="A64" s="1" t="s">
        <v>18</v>
      </c>
      <c r="B64" s="1" t="s">
        <v>23</v>
      </c>
      <c r="C64" s="1" t="s">
        <v>28</v>
      </c>
      <c r="D64" s="1">
        <v>100572</v>
      </c>
      <c r="E64" s="1" t="s">
        <v>293</v>
      </c>
      <c r="F64" s="1" t="s">
        <v>295</v>
      </c>
      <c r="G64" s="1">
        <v>50</v>
      </c>
      <c r="H64" s="1">
        <v>4</v>
      </c>
      <c r="I64" s="1" t="s">
        <v>298</v>
      </c>
      <c r="J64" s="1">
        <v>13</v>
      </c>
      <c r="K64" s="1" t="s">
        <v>300</v>
      </c>
      <c r="L64" s="1" t="s">
        <v>306</v>
      </c>
      <c r="M64" s="1">
        <v>4</v>
      </c>
      <c r="N64" s="1">
        <v>5</v>
      </c>
      <c r="O64" s="1">
        <v>95543.4</v>
      </c>
      <c r="P64" s="1">
        <f>Table1[[#This Row],[Rooms Booked]]/Table1[[#This Row],[Rooms Available]]*100</f>
        <v>8</v>
      </c>
      <c r="Q64" s="1">
        <f>Table1[[#This Row],[Revenue]]/Table1[[#This Row],[Rooms Booked]]</f>
        <v>25143</v>
      </c>
    </row>
    <row r="65" spans="1:17" x14ac:dyDescent="0.25">
      <c r="A65" s="1" t="s">
        <v>15</v>
      </c>
      <c r="B65" s="1" t="s">
        <v>21</v>
      </c>
      <c r="C65" s="1" t="s">
        <v>82</v>
      </c>
      <c r="D65" s="1">
        <v>0</v>
      </c>
      <c r="E65" s="1" t="s">
        <v>294</v>
      </c>
      <c r="F65" s="1" t="s">
        <v>295</v>
      </c>
      <c r="G65" s="1">
        <v>50</v>
      </c>
      <c r="H65" s="1">
        <v>5</v>
      </c>
      <c r="I65" s="1" t="s">
        <v>299</v>
      </c>
      <c r="J65" s="1">
        <v>30</v>
      </c>
      <c r="K65" s="1" t="s">
        <v>300</v>
      </c>
      <c r="L65" s="1" t="s">
        <v>305</v>
      </c>
      <c r="M65" s="1">
        <v>1</v>
      </c>
      <c r="N65" s="1">
        <v>15</v>
      </c>
      <c r="O65" s="1">
        <v>0</v>
      </c>
      <c r="P65" s="1">
        <f>Table1[[#This Row],[Rooms Booked]]/Table1[[#This Row],[Rooms Available]]*100</f>
        <v>10</v>
      </c>
      <c r="Q65" s="1">
        <f>Table1[[#This Row],[Revenue]]/Table1[[#This Row],[Rooms Booked]]</f>
        <v>0</v>
      </c>
    </row>
    <row r="66" spans="1:17" x14ac:dyDescent="0.25">
      <c r="A66" s="1" t="s">
        <v>18</v>
      </c>
      <c r="B66" s="1" t="s">
        <v>22</v>
      </c>
      <c r="C66" s="1" t="s">
        <v>83</v>
      </c>
      <c r="D66" s="1">
        <v>13930</v>
      </c>
      <c r="E66" s="1" t="s">
        <v>291</v>
      </c>
      <c r="F66" s="1" t="s">
        <v>297</v>
      </c>
      <c r="G66" s="1">
        <v>50</v>
      </c>
      <c r="H66" s="1">
        <v>1</v>
      </c>
      <c r="I66" s="1" t="s">
        <v>298</v>
      </c>
      <c r="J66" s="1">
        <v>10</v>
      </c>
      <c r="K66" s="1" t="s">
        <v>301</v>
      </c>
      <c r="L66" s="1" t="s">
        <v>306</v>
      </c>
      <c r="M66" s="1">
        <v>4</v>
      </c>
      <c r="N66" s="1">
        <v>15</v>
      </c>
      <c r="O66" s="1">
        <v>11840.5</v>
      </c>
      <c r="P66" s="1">
        <f>Table1[[#This Row],[Rooms Booked]]/Table1[[#This Row],[Rooms Available]]*100</f>
        <v>2</v>
      </c>
      <c r="Q66" s="1">
        <f>Table1[[#This Row],[Revenue]]/Table1[[#This Row],[Rooms Booked]]</f>
        <v>13930</v>
      </c>
    </row>
    <row r="67" spans="1:17" x14ac:dyDescent="0.25">
      <c r="A67" s="1" t="s">
        <v>20</v>
      </c>
      <c r="B67" s="1" t="s">
        <v>22</v>
      </c>
      <c r="C67" s="1" t="s">
        <v>84</v>
      </c>
      <c r="D67" s="1">
        <v>113360</v>
      </c>
      <c r="E67" s="1" t="s">
        <v>292</v>
      </c>
      <c r="F67" s="1" t="s">
        <v>296</v>
      </c>
      <c r="G67" s="1">
        <v>50</v>
      </c>
      <c r="H67" s="1">
        <v>4</v>
      </c>
      <c r="I67" s="1" t="s">
        <v>298</v>
      </c>
      <c r="J67" s="1">
        <v>17</v>
      </c>
      <c r="K67" s="1" t="s">
        <v>301</v>
      </c>
      <c r="L67" s="1" t="s">
        <v>306</v>
      </c>
      <c r="M67" s="1">
        <v>2</v>
      </c>
      <c r="N67" s="1">
        <v>5</v>
      </c>
      <c r="O67" s="1">
        <v>107692</v>
      </c>
      <c r="P67" s="1">
        <f>Table1[[#This Row],[Rooms Booked]]/Table1[[#This Row],[Rooms Available]]*100</f>
        <v>8</v>
      </c>
      <c r="Q67" s="1">
        <f>Table1[[#This Row],[Revenue]]/Table1[[#This Row],[Rooms Booked]]</f>
        <v>28340</v>
      </c>
    </row>
    <row r="68" spans="1:17" x14ac:dyDescent="0.25">
      <c r="A68" s="1" t="s">
        <v>16</v>
      </c>
      <c r="B68" s="1" t="s">
        <v>23</v>
      </c>
      <c r="C68" s="1" t="s">
        <v>85</v>
      </c>
      <c r="D68" s="1">
        <v>14608</v>
      </c>
      <c r="E68" s="1" t="s">
        <v>292</v>
      </c>
      <c r="F68" s="1" t="s">
        <v>295</v>
      </c>
      <c r="G68" s="1">
        <v>50</v>
      </c>
      <c r="H68" s="1">
        <v>2</v>
      </c>
      <c r="I68" s="1" t="s">
        <v>298</v>
      </c>
      <c r="J68" s="1">
        <v>11</v>
      </c>
      <c r="K68" s="1" t="s">
        <v>301</v>
      </c>
      <c r="L68" s="1" t="s">
        <v>305</v>
      </c>
      <c r="M68" s="1">
        <v>1</v>
      </c>
      <c r="N68" s="1">
        <v>10</v>
      </c>
      <c r="O68" s="1">
        <v>13147.2</v>
      </c>
      <c r="P68" s="1">
        <f>Table1[[#This Row],[Rooms Booked]]/Table1[[#This Row],[Rooms Available]]*100</f>
        <v>4</v>
      </c>
      <c r="Q68" s="1">
        <f>Table1[[#This Row],[Revenue]]/Table1[[#This Row],[Rooms Booked]]</f>
        <v>7304</v>
      </c>
    </row>
    <row r="69" spans="1:17" x14ac:dyDescent="0.25">
      <c r="A69" s="1" t="s">
        <v>20</v>
      </c>
      <c r="B69" s="1" t="s">
        <v>21</v>
      </c>
      <c r="C69" s="1" t="s">
        <v>86</v>
      </c>
      <c r="D69" s="1">
        <v>16832</v>
      </c>
      <c r="E69" s="1" t="s">
        <v>293</v>
      </c>
      <c r="F69" s="1" t="s">
        <v>295</v>
      </c>
      <c r="G69" s="1">
        <v>50</v>
      </c>
      <c r="H69" s="1">
        <v>1</v>
      </c>
      <c r="I69" s="1" t="s">
        <v>298</v>
      </c>
      <c r="J69" s="1">
        <v>9</v>
      </c>
      <c r="K69" s="1" t="s">
        <v>300</v>
      </c>
      <c r="L69" s="1" t="s">
        <v>302</v>
      </c>
      <c r="M69" s="1">
        <v>1</v>
      </c>
      <c r="N69" s="1">
        <v>15</v>
      </c>
      <c r="O69" s="1">
        <v>14307.2</v>
      </c>
      <c r="P69" s="1">
        <f>Table1[[#This Row],[Rooms Booked]]/Table1[[#This Row],[Rooms Available]]*100</f>
        <v>2</v>
      </c>
      <c r="Q69" s="1">
        <f>Table1[[#This Row],[Revenue]]/Table1[[#This Row],[Rooms Booked]]</f>
        <v>16832</v>
      </c>
    </row>
    <row r="70" spans="1:17" x14ac:dyDescent="0.25">
      <c r="A70" s="1" t="s">
        <v>16</v>
      </c>
      <c r="B70" s="1" t="s">
        <v>21</v>
      </c>
      <c r="C70" s="1" t="s">
        <v>87</v>
      </c>
      <c r="D70" s="1">
        <v>0</v>
      </c>
      <c r="E70" s="1" t="s">
        <v>292</v>
      </c>
      <c r="F70" s="1" t="s">
        <v>296</v>
      </c>
      <c r="G70" s="1">
        <v>50</v>
      </c>
      <c r="H70" s="1">
        <v>1</v>
      </c>
      <c r="I70" s="1" t="s">
        <v>299</v>
      </c>
      <c r="J70" s="1">
        <v>25</v>
      </c>
      <c r="K70" s="1" t="s">
        <v>301</v>
      </c>
      <c r="L70" s="1" t="s">
        <v>303</v>
      </c>
      <c r="M70" s="1">
        <v>5</v>
      </c>
      <c r="N70" s="1">
        <v>10</v>
      </c>
      <c r="O70" s="1">
        <v>0</v>
      </c>
      <c r="P70" s="1">
        <f>Table1[[#This Row],[Rooms Booked]]/Table1[[#This Row],[Rooms Available]]*100</f>
        <v>2</v>
      </c>
      <c r="Q70" s="1">
        <f>Table1[[#This Row],[Revenue]]/Table1[[#This Row],[Rooms Booked]]</f>
        <v>0</v>
      </c>
    </row>
    <row r="71" spans="1:17" x14ac:dyDescent="0.25">
      <c r="A71" s="1" t="s">
        <v>18</v>
      </c>
      <c r="B71" s="1" t="s">
        <v>21</v>
      </c>
      <c r="C71" s="1" t="s">
        <v>88</v>
      </c>
      <c r="D71" s="1">
        <v>35652</v>
      </c>
      <c r="E71" s="1" t="s">
        <v>292</v>
      </c>
      <c r="F71" s="1" t="s">
        <v>295</v>
      </c>
      <c r="G71" s="1">
        <v>50</v>
      </c>
      <c r="H71" s="1">
        <v>1</v>
      </c>
      <c r="I71" s="1" t="s">
        <v>298</v>
      </c>
      <c r="J71" s="1">
        <v>30</v>
      </c>
      <c r="K71" s="1" t="s">
        <v>300</v>
      </c>
      <c r="L71" s="1" t="s">
        <v>305</v>
      </c>
      <c r="M71" s="1">
        <v>3</v>
      </c>
      <c r="N71" s="1">
        <v>10</v>
      </c>
      <c r="O71" s="1">
        <v>32086.799999999999</v>
      </c>
      <c r="P71" s="1">
        <f>Table1[[#This Row],[Rooms Booked]]/Table1[[#This Row],[Rooms Available]]*100</f>
        <v>2</v>
      </c>
      <c r="Q71" s="1">
        <f>Table1[[#This Row],[Revenue]]/Table1[[#This Row],[Rooms Booked]]</f>
        <v>35652</v>
      </c>
    </row>
    <row r="72" spans="1:17" x14ac:dyDescent="0.25">
      <c r="A72" s="1" t="s">
        <v>17</v>
      </c>
      <c r="B72" s="1" t="s">
        <v>22</v>
      </c>
      <c r="C72" s="1" t="s">
        <v>89</v>
      </c>
      <c r="D72" s="1">
        <v>132800</v>
      </c>
      <c r="E72" s="1" t="s">
        <v>293</v>
      </c>
      <c r="F72" s="1" t="s">
        <v>295</v>
      </c>
      <c r="G72" s="1">
        <v>50</v>
      </c>
      <c r="H72" s="1">
        <v>5</v>
      </c>
      <c r="I72" s="1" t="s">
        <v>298</v>
      </c>
      <c r="J72" s="1">
        <v>20</v>
      </c>
      <c r="K72" s="1" t="s">
        <v>301</v>
      </c>
      <c r="L72" s="1" t="s">
        <v>306</v>
      </c>
      <c r="M72" s="1">
        <v>2</v>
      </c>
      <c r="N72" s="1">
        <v>0</v>
      </c>
      <c r="O72" s="1">
        <v>132800</v>
      </c>
      <c r="P72" s="1">
        <f>Table1[[#This Row],[Rooms Booked]]/Table1[[#This Row],[Rooms Available]]*100</f>
        <v>10</v>
      </c>
      <c r="Q72" s="1">
        <f>Table1[[#This Row],[Revenue]]/Table1[[#This Row],[Rooms Booked]]</f>
        <v>26560</v>
      </c>
    </row>
    <row r="73" spans="1:17" x14ac:dyDescent="0.25">
      <c r="A73" s="1" t="s">
        <v>19</v>
      </c>
      <c r="B73" s="1" t="s">
        <v>23</v>
      </c>
      <c r="C73" s="1" t="s">
        <v>90</v>
      </c>
      <c r="D73" s="1">
        <v>0</v>
      </c>
      <c r="E73" s="1" t="s">
        <v>292</v>
      </c>
      <c r="F73" s="1" t="s">
        <v>296</v>
      </c>
      <c r="G73" s="1">
        <v>50</v>
      </c>
      <c r="H73" s="1">
        <v>2</v>
      </c>
      <c r="I73" s="1" t="s">
        <v>299</v>
      </c>
      <c r="J73" s="1">
        <v>1</v>
      </c>
      <c r="K73" s="1" t="s">
        <v>301</v>
      </c>
      <c r="L73" s="1" t="s">
        <v>306</v>
      </c>
      <c r="M73" s="1">
        <v>1</v>
      </c>
      <c r="N73" s="1">
        <v>15</v>
      </c>
      <c r="O73" s="1">
        <v>0</v>
      </c>
      <c r="P73" s="1">
        <f>Table1[[#This Row],[Rooms Booked]]/Table1[[#This Row],[Rooms Available]]*100</f>
        <v>4</v>
      </c>
      <c r="Q73" s="1">
        <f>Table1[[#This Row],[Revenue]]/Table1[[#This Row],[Rooms Booked]]</f>
        <v>0</v>
      </c>
    </row>
    <row r="74" spans="1:17" x14ac:dyDescent="0.25">
      <c r="A74" s="1" t="s">
        <v>17</v>
      </c>
      <c r="B74" s="1" t="s">
        <v>21</v>
      </c>
      <c r="C74" s="1" t="s">
        <v>91</v>
      </c>
      <c r="D74" s="1">
        <v>10499</v>
      </c>
      <c r="E74" s="1" t="s">
        <v>291</v>
      </c>
      <c r="F74" s="1" t="s">
        <v>295</v>
      </c>
      <c r="G74" s="1">
        <v>50</v>
      </c>
      <c r="H74" s="1">
        <v>1</v>
      </c>
      <c r="I74" s="1" t="s">
        <v>298</v>
      </c>
      <c r="J74" s="1">
        <v>7</v>
      </c>
      <c r="K74" s="1" t="s">
        <v>301</v>
      </c>
      <c r="L74" s="1" t="s">
        <v>305</v>
      </c>
      <c r="M74" s="1">
        <v>5</v>
      </c>
      <c r="N74" s="1">
        <v>0</v>
      </c>
      <c r="O74" s="1">
        <v>10499</v>
      </c>
      <c r="P74" s="1">
        <f>Table1[[#This Row],[Rooms Booked]]/Table1[[#This Row],[Rooms Available]]*100</f>
        <v>2</v>
      </c>
      <c r="Q74" s="1">
        <f>Table1[[#This Row],[Revenue]]/Table1[[#This Row],[Rooms Booked]]</f>
        <v>10499</v>
      </c>
    </row>
    <row r="75" spans="1:17" x14ac:dyDescent="0.25">
      <c r="A75" s="1" t="s">
        <v>19</v>
      </c>
      <c r="B75" s="1" t="s">
        <v>23</v>
      </c>
      <c r="C75" s="1" t="s">
        <v>92</v>
      </c>
      <c r="D75" s="1">
        <v>21441</v>
      </c>
      <c r="E75" s="1" t="s">
        <v>291</v>
      </c>
      <c r="F75" s="1" t="s">
        <v>295</v>
      </c>
      <c r="G75" s="1">
        <v>50</v>
      </c>
      <c r="H75" s="1">
        <v>3</v>
      </c>
      <c r="I75" s="1" t="s">
        <v>298</v>
      </c>
      <c r="J75" s="1">
        <v>12</v>
      </c>
      <c r="K75" s="1" t="s">
        <v>301</v>
      </c>
      <c r="L75" s="1" t="s">
        <v>302</v>
      </c>
      <c r="M75" s="1">
        <v>2</v>
      </c>
      <c r="N75" s="1">
        <v>15</v>
      </c>
      <c r="O75" s="1">
        <v>18224.849999999999</v>
      </c>
      <c r="P75" s="1">
        <f>Table1[[#This Row],[Rooms Booked]]/Table1[[#This Row],[Rooms Available]]*100</f>
        <v>6</v>
      </c>
      <c r="Q75" s="1">
        <f>Table1[[#This Row],[Revenue]]/Table1[[#This Row],[Rooms Booked]]</f>
        <v>7147</v>
      </c>
    </row>
    <row r="76" spans="1:17" x14ac:dyDescent="0.25">
      <c r="A76" s="1" t="s">
        <v>20</v>
      </c>
      <c r="B76" s="1" t="s">
        <v>21</v>
      </c>
      <c r="C76" s="1" t="s">
        <v>93</v>
      </c>
      <c r="D76" s="1">
        <v>297160</v>
      </c>
      <c r="E76" s="1" t="s">
        <v>294</v>
      </c>
      <c r="F76" s="1" t="s">
        <v>295</v>
      </c>
      <c r="G76" s="1">
        <v>50</v>
      </c>
      <c r="H76" s="1">
        <v>5</v>
      </c>
      <c r="I76" s="1" t="s">
        <v>298</v>
      </c>
      <c r="J76" s="1">
        <v>22</v>
      </c>
      <c r="K76" s="1" t="s">
        <v>300</v>
      </c>
      <c r="L76" s="1" t="s">
        <v>302</v>
      </c>
      <c r="M76" s="1">
        <v>5</v>
      </c>
      <c r="N76" s="1">
        <v>15</v>
      </c>
      <c r="O76" s="1">
        <v>252586</v>
      </c>
      <c r="P76" s="1">
        <f>Table1[[#This Row],[Rooms Booked]]/Table1[[#This Row],[Rooms Available]]*100</f>
        <v>10</v>
      </c>
      <c r="Q76" s="1">
        <f>Table1[[#This Row],[Revenue]]/Table1[[#This Row],[Rooms Booked]]</f>
        <v>59432</v>
      </c>
    </row>
    <row r="77" spans="1:17" x14ac:dyDescent="0.25">
      <c r="A77" s="1" t="s">
        <v>18</v>
      </c>
      <c r="B77" s="1" t="s">
        <v>21</v>
      </c>
      <c r="C77" s="1" t="s">
        <v>94</v>
      </c>
      <c r="D77" s="1">
        <v>56034</v>
      </c>
      <c r="E77" s="1" t="s">
        <v>293</v>
      </c>
      <c r="F77" s="1" t="s">
        <v>295</v>
      </c>
      <c r="G77" s="1">
        <v>50</v>
      </c>
      <c r="H77" s="1">
        <v>3</v>
      </c>
      <c r="I77" s="1" t="s">
        <v>298</v>
      </c>
      <c r="J77" s="1">
        <v>19</v>
      </c>
      <c r="K77" s="1" t="s">
        <v>301</v>
      </c>
      <c r="L77" s="1" t="s">
        <v>304</v>
      </c>
      <c r="M77" s="1">
        <v>2</v>
      </c>
      <c r="N77" s="1">
        <v>15</v>
      </c>
      <c r="O77" s="1">
        <v>47628.9</v>
      </c>
      <c r="P77" s="1">
        <f>Table1[[#This Row],[Rooms Booked]]/Table1[[#This Row],[Rooms Available]]*100</f>
        <v>6</v>
      </c>
      <c r="Q77" s="1">
        <f>Table1[[#This Row],[Revenue]]/Table1[[#This Row],[Rooms Booked]]</f>
        <v>18678</v>
      </c>
    </row>
    <row r="78" spans="1:17" x14ac:dyDescent="0.25">
      <c r="A78" s="1" t="s">
        <v>19</v>
      </c>
      <c r="B78" s="1" t="s">
        <v>21</v>
      </c>
      <c r="C78" s="1" t="s">
        <v>95</v>
      </c>
      <c r="D78" s="1">
        <v>73917</v>
      </c>
      <c r="E78" s="1" t="s">
        <v>294</v>
      </c>
      <c r="F78" s="1" t="s">
        <v>295</v>
      </c>
      <c r="G78" s="1">
        <v>50</v>
      </c>
      <c r="H78" s="1">
        <v>3</v>
      </c>
      <c r="I78" s="1" t="s">
        <v>298</v>
      </c>
      <c r="J78" s="1">
        <v>2</v>
      </c>
      <c r="K78" s="1" t="s">
        <v>300</v>
      </c>
      <c r="L78" s="1" t="s">
        <v>302</v>
      </c>
      <c r="M78" s="1">
        <v>1</v>
      </c>
      <c r="N78" s="1">
        <v>15</v>
      </c>
      <c r="O78" s="1">
        <v>62829.45</v>
      </c>
      <c r="P78" s="1">
        <f>Table1[[#This Row],[Rooms Booked]]/Table1[[#This Row],[Rooms Available]]*100</f>
        <v>6</v>
      </c>
      <c r="Q78" s="1">
        <f>Table1[[#This Row],[Revenue]]/Table1[[#This Row],[Rooms Booked]]</f>
        <v>24639</v>
      </c>
    </row>
    <row r="79" spans="1:17" x14ac:dyDescent="0.25">
      <c r="A79" s="1" t="s">
        <v>15</v>
      </c>
      <c r="B79" s="1" t="s">
        <v>23</v>
      </c>
      <c r="C79" s="1" t="s">
        <v>96</v>
      </c>
      <c r="D79" s="1">
        <v>0</v>
      </c>
      <c r="E79" s="1" t="s">
        <v>293</v>
      </c>
      <c r="F79" s="1" t="s">
        <v>295</v>
      </c>
      <c r="G79" s="1">
        <v>50</v>
      </c>
      <c r="H79" s="1">
        <v>4</v>
      </c>
      <c r="I79" s="1" t="s">
        <v>299</v>
      </c>
      <c r="J79" s="1">
        <v>30</v>
      </c>
      <c r="K79" s="1" t="s">
        <v>301</v>
      </c>
      <c r="L79" s="1" t="s">
        <v>303</v>
      </c>
      <c r="M79" s="1">
        <v>5</v>
      </c>
      <c r="N79" s="1">
        <v>5</v>
      </c>
      <c r="O79" s="1">
        <v>0</v>
      </c>
      <c r="P79" s="1">
        <f>Table1[[#This Row],[Rooms Booked]]/Table1[[#This Row],[Rooms Available]]*100</f>
        <v>8</v>
      </c>
      <c r="Q79" s="1">
        <f>Table1[[#This Row],[Revenue]]/Table1[[#This Row],[Rooms Booked]]</f>
        <v>0</v>
      </c>
    </row>
    <row r="80" spans="1:17" x14ac:dyDescent="0.25">
      <c r="A80" s="1" t="s">
        <v>17</v>
      </c>
      <c r="B80" s="1" t="s">
        <v>22</v>
      </c>
      <c r="C80" s="1" t="s">
        <v>42</v>
      </c>
      <c r="D80" s="1">
        <v>8120</v>
      </c>
      <c r="E80" s="1" t="s">
        <v>294</v>
      </c>
      <c r="F80" s="1" t="s">
        <v>295</v>
      </c>
      <c r="G80" s="1">
        <v>50</v>
      </c>
      <c r="H80" s="1">
        <v>1</v>
      </c>
      <c r="I80" s="1" t="s">
        <v>298</v>
      </c>
      <c r="J80" s="1">
        <v>28</v>
      </c>
      <c r="K80" s="1" t="s">
        <v>301</v>
      </c>
      <c r="L80" s="1" t="s">
        <v>303</v>
      </c>
      <c r="M80" s="1">
        <v>1</v>
      </c>
      <c r="N80" s="1">
        <v>5</v>
      </c>
      <c r="O80" s="1">
        <v>7714</v>
      </c>
      <c r="P80" s="1">
        <f>Table1[[#This Row],[Rooms Booked]]/Table1[[#This Row],[Rooms Available]]*100</f>
        <v>2</v>
      </c>
      <c r="Q80" s="1">
        <f>Table1[[#This Row],[Revenue]]/Table1[[#This Row],[Rooms Booked]]</f>
        <v>8120</v>
      </c>
    </row>
    <row r="81" spans="1:17" x14ac:dyDescent="0.25">
      <c r="A81" s="1" t="s">
        <v>18</v>
      </c>
      <c r="B81" s="1" t="s">
        <v>22</v>
      </c>
      <c r="C81" s="1" t="s">
        <v>43</v>
      </c>
      <c r="D81" s="1">
        <v>0</v>
      </c>
      <c r="E81" s="1" t="s">
        <v>293</v>
      </c>
      <c r="F81" s="1" t="s">
        <v>295</v>
      </c>
      <c r="G81" s="1">
        <v>50</v>
      </c>
      <c r="H81" s="1">
        <v>3</v>
      </c>
      <c r="I81" s="1" t="s">
        <v>299</v>
      </c>
      <c r="J81" s="1">
        <v>20</v>
      </c>
      <c r="K81" s="1" t="s">
        <v>301</v>
      </c>
      <c r="L81" s="1" t="s">
        <v>302</v>
      </c>
      <c r="M81" s="1">
        <v>2</v>
      </c>
      <c r="N81" s="1">
        <v>5</v>
      </c>
      <c r="O81" s="1">
        <v>0</v>
      </c>
      <c r="P81" s="1">
        <f>Table1[[#This Row],[Rooms Booked]]/Table1[[#This Row],[Rooms Available]]*100</f>
        <v>6</v>
      </c>
      <c r="Q81" s="1">
        <f>Table1[[#This Row],[Revenue]]/Table1[[#This Row],[Rooms Booked]]</f>
        <v>0</v>
      </c>
    </row>
    <row r="82" spans="1:17" x14ac:dyDescent="0.25">
      <c r="A82" s="1" t="s">
        <v>16</v>
      </c>
      <c r="B82" s="1" t="s">
        <v>22</v>
      </c>
      <c r="C82" s="1" t="s">
        <v>97</v>
      </c>
      <c r="D82" s="1">
        <v>16443</v>
      </c>
      <c r="E82" s="1" t="s">
        <v>293</v>
      </c>
      <c r="F82" s="1" t="s">
        <v>296</v>
      </c>
      <c r="G82" s="1">
        <v>50</v>
      </c>
      <c r="H82" s="1">
        <v>3</v>
      </c>
      <c r="I82" s="1" t="s">
        <v>298</v>
      </c>
      <c r="J82" s="1">
        <v>18</v>
      </c>
      <c r="K82" s="1" t="s">
        <v>300</v>
      </c>
      <c r="L82" s="1" t="s">
        <v>305</v>
      </c>
      <c r="M82" s="1">
        <v>4</v>
      </c>
      <c r="N82" s="1">
        <v>0</v>
      </c>
      <c r="O82" s="1">
        <v>16443</v>
      </c>
      <c r="P82" s="1">
        <f>Table1[[#This Row],[Rooms Booked]]/Table1[[#This Row],[Rooms Available]]*100</f>
        <v>6</v>
      </c>
      <c r="Q82" s="1">
        <f>Table1[[#This Row],[Revenue]]/Table1[[#This Row],[Rooms Booked]]</f>
        <v>5481</v>
      </c>
    </row>
    <row r="83" spans="1:17" x14ac:dyDescent="0.25">
      <c r="A83" s="1" t="s">
        <v>18</v>
      </c>
      <c r="B83" s="1" t="s">
        <v>23</v>
      </c>
      <c r="C83" s="1" t="s">
        <v>98</v>
      </c>
      <c r="D83" s="1">
        <v>59082</v>
      </c>
      <c r="E83" s="1" t="s">
        <v>292</v>
      </c>
      <c r="F83" s="1" t="s">
        <v>295</v>
      </c>
      <c r="G83" s="1">
        <v>50</v>
      </c>
      <c r="H83" s="1">
        <v>3</v>
      </c>
      <c r="I83" s="1" t="s">
        <v>298</v>
      </c>
      <c r="J83" s="1">
        <v>23</v>
      </c>
      <c r="K83" s="1" t="s">
        <v>300</v>
      </c>
      <c r="L83" s="1" t="s">
        <v>306</v>
      </c>
      <c r="M83" s="1">
        <v>1</v>
      </c>
      <c r="N83" s="1">
        <v>10</v>
      </c>
      <c r="O83" s="1">
        <v>53173.8</v>
      </c>
      <c r="P83" s="1">
        <f>Table1[[#This Row],[Rooms Booked]]/Table1[[#This Row],[Rooms Available]]*100</f>
        <v>6</v>
      </c>
      <c r="Q83" s="1">
        <f>Table1[[#This Row],[Revenue]]/Table1[[#This Row],[Rooms Booked]]</f>
        <v>19694</v>
      </c>
    </row>
    <row r="84" spans="1:17" x14ac:dyDescent="0.25">
      <c r="A84" s="1" t="s">
        <v>15</v>
      </c>
      <c r="B84" s="1" t="s">
        <v>22</v>
      </c>
      <c r="C84" s="1" t="s">
        <v>99</v>
      </c>
      <c r="D84" s="1">
        <v>20920</v>
      </c>
      <c r="E84" s="1" t="s">
        <v>294</v>
      </c>
      <c r="F84" s="1" t="s">
        <v>296</v>
      </c>
      <c r="G84" s="1">
        <v>50</v>
      </c>
      <c r="H84" s="1">
        <v>2</v>
      </c>
      <c r="I84" s="1" t="s">
        <v>298</v>
      </c>
      <c r="J84" s="1">
        <v>4</v>
      </c>
      <c r="K84" s="1" t="s">
        <v>300</v>
      </c>
      <c r="L84" s="1" t="s">
        <v>305</v>
      </c>
      <c r="M84" s="1">
        <v>1</v>
      </c>
      <c r="N84" s="1">
        <v>10</v>
      </c>
      <c r="O84" s="1">
        <v>18828</v>
      </c>
      <c r="P84" s="1">
        <f>Table1[[#This Row],[Rooms Booked]]/Table1[[#This Row],[Rooms Available]]*100</f>
        <v>4</v>
      </c>
      <c r="Q84" s="1">
        <f>Table1[[#This Row],[Revenue]]/Table1[[#This Row],[Rooms Booked]]</f>
        <v>10460</v>
      </c>
    </row>
    <row r="85" spans="1:17" x14ac:dyDescent="0.25">
      <c r="A85" s="1" t="s">
        <v>18</v>
      </c>
      <c r="B85" s="1" t="s">
        <v>22</v>
      </c>
      <c r="C85" s="1" t="s">
        <v>83</v>
      </c>
      <c r="D85" s="1">
        <v>39544</v>
      </c>
      <c r="E85" s="1" t="s">
        <v>292</v>
      </c>
      <c r="F85" s="1" t="s">
        <v>297</v>
      </c>
      <c r="G85" s="1">
        <v>50</v>
      </c>
      <c r="H85" s="1">
        <v>4</v>
      </c>
      <c r="I85" s="1" t="s">
        <v>298</v>
      </c>
      <c r="J85" s="1">
        <v>7</v>
      </c>
      <c r="K85" s="1" t="s">
        <v>300</v>
      </c>
      <c r="L85" s="1" t="s">
        <v>306</v>
      </c>
      <c r="M85" s="1">
        <v>2</v>
      </c>
      <c r="N85" s="1">
        <v>15</v>
      </c>
      <c r="O85" s="1">
        <v>33612.400000000001</v>
      </c>
      <c r="P85" s="1">
        <f>Table1[[#This Row],[Rooms Booked]]/Table1[[#This Row],[Rooms Available]]*100</f>
        <v>8</v>
      </c>
      <c r="Q85" s="1">
        <f>Table1[[#This Row],[Revenue]]/Table1[[#This Row],[Rooms Booked]]</f>
        <v>9886</v>
      </c>
    </row>
    <row r="86" spans="1:17" x14ac:dyDescent="0.25">
      <c r="A86" s="1" t="s">
        <v>20</v>
      </c>
      <c r="B86" s="1" t="s">
        <v>22</v>
      </c>
      <c r="C86" s="1" t="s">
        <v>100</v>
      </c>
      <c r="D86" s="1">
        <v>27088</v>
      </c>
      <c r="E86" s="1" t="s">
        <v>293</v>
      </c>
      <c r="F86" s="1" t="s">
        <v>296</v>
      </c>
      <c r="G86" s="1">
        <v>50</v>
      </c>
      <c r="H86" s="1">
        <v>1</v>
      </c>
      <c r="I86" s="1" t="s">
        <v>298</v>
      </c>
      <c r="J86" s="1">
        <v>10</v>
      </c>
      <c r="K86" s="1" t="s">
        <v>300</v>
      </c>
      <c r="L86" s="1" t="s">
        <v>303</v>
      </c>
      <c r="M86" s="1">
        <v>2</v>
      </c>
      <c r="N86" s="1">
        <v>0</v>
      </c>
      <c r="O86" s="1">
        <v>27088</v>
      </c>
      <c r="P86" s="1">
        <f>Table1[[#This Row],[Rooms Booked]]/Table1[[#This Row],[Rooms Available]]*100</f>
        <v>2</v>
      </c>
      <c r="Q86" s="1">
        <f>Table1[[#This Row],[Revenue]]/Table1[[#This Row],[Rooms Booked]]</f>
        <v>27088</v>
      </c>
    </row>
    <row r="87" spans="1:17" x14ac:dyDescent="0.25">
      <c r="A87" s="1" t="s">
        <v>15</v>
      </c>
      <c r="B87" s="1" t="s">
        <v>22</v>
      </c>
      <c r="C87" s="1" t="s">
        <v>101</v>
      </c>
      <c r="D87" s="1">
        <v>179160</v>
      </c>
      <c r="E87" s="1" t="s">
        <v>294</v>
      </c>
      <c r="F87" s="1" t="s">
        <v>295</v>
      </c>
      <c r="G87" s="1">
        <v>50</v>
      </c>
      <c r="H87" s="1">
        <v>5</v>
      </c>
      <c r="I87" s="1" t="s">
        <v>298</v>
      </c>
      <c r="J87" s="1">
        <v>29</v>
      </c>
      <c r="K87" s="1" t="s">
        <v>301</v>
      </c>
      <c r="L87" s="1" t="s">
        <v>302</v>
      </c>
      <c r="M87" s="1">
        <v>1</v>
      </c>
      <c r="N87" s="1">
        <v>15</v>
      </c>
      <c r="O87" s="1">
        <v>152286</v>
      </c>
      <c r="P87" s="1">
        <f>Table1[[#This Row],[Rooms Booked]]/Table1[[#This Row],[Rooms Available]]*100</f>
        <v>10</v>
      </c>
      <c r="Q87" s="1">
        <f>Table1[[#This Row],[Revenue]]/Table1[[#This Row],[Rooms Booked]]</f>
        <v>35832</v>
      </c>
    </row>
    <row r="88" spans="1:17" x14ac:dyDescent="0.25">
      <c r="A88" s="1" t="s">
        <v>18</v>
      </c>
      <c r="B88" s="1" t="s">
        <v>21</v>
      </c>
      <c r="C88" s="1" t="s">
        <v>102</v>
      </c>
      <c r="D88" s="1">
        <v>134330</v>
      </c>
      <c r="E88" s="1" t="s">
        <v>291</v>
      </c>
      <c r="F88" s="1" t="s">
        <v>295</v>
      </c>
      <c r="G88" s="1">
        <v>50</v>
      </c>
      <c r="H88" s="1">
        <v>5</v>
      </c>
      <c r="I88" s="1" t="s">
        <v>298</v>
      </c>
      <c r="J88" s="1">
        <v>12</v>
      </c>
      <c r="K88" s="1" t="s">
        <v>300</v>
      </c>
      <c r="L88" s="1" t="s">
        <v>306</v>
      </c>
      <c r="M88" s="1">
        <v>3</v>
      </c>
      <c r="N88" s="1">
        <v>5</v>
      </c>
      <c r="O88" s="1">
        <v>127613.5</v>
      </c>
      <c r="P88" s="1">
        <f>Table1[[#This Row],[Rooms Booked]]/Table1[[#This Row],[Rooms Available]]*100</f>
        <v>10</v>
      </c>
      <c r="Q88" s="1">
        <f>Table1[[#This Row],[Revenue]]/Table1[[#This Row],[Rooms Booked]]</f>
        <v>26866</v>
      </c>
    </row>
    <row r="89" spans="1:17" x14ac:dyDescent="0.25">
      <c r="A89" s="1" t="s">
        <v>18</v>
      </c>
      <c r="B89" s="1" t="s">
        <v>22</v>
      </c>
      <c r="C89" s="1" t="s">
        <v>103</v>
      </c>
      <c r="D89" s="1">
        <v>120468</v>
      </c>
      <c r="E89" s="1" t="s">
        <v>294</v>
      </c>
      <c r="F89" s="1" t="s">
        <v>295</v>
      </c>
      <c r="G89" s="1">
        <v>50</v>
      </c>
      <c r="H89" s="1">
        <v>3</v>
      </c>
      <c r="I89" s="1" t="s">
        <v>298</v>
      </c>
      <c r="J89" s="1">
        <v>1</v>
      </c>
      <c r="K89" s="1" t="s">
        <v>301</v>
      </c>
      <c r="L89" s="1" t="s">
        <v>303</v>
      </c>
      <c r="M89" s="1">
        <v>2</v>
      </c>
      <c r="N89" s="1">
        <v>5</v>
      </c>
      <c r="O89" s="1">
        <v>114444.6</v>
      </c>
      <c r="P89" s="1">
        <f>Table1[[#This Row],[Rooms Booked]]/Table1[[#This Row],[Rooms Available]]*100</f>
        <v>6</v>
      </c>
      <c r="Q89" s="1">
        <f>Table1[[#This Row],[Revenue]]/Table1[[#This Row],[Rooms Booked]]</f>
        <v>40156</v>
      </c>
    </row>
    <row r="90" spans="1:17" x14ac:dyDescent="0.25">
      <c r="A90" s="1" t="s">
        <v>15</v>
      </c>
      <c r="B90" s="1" t="s">
        <v>22</v>
      </c>
      <c r="C90" s="1" t="s">
        <v>30</v>
      </c>
      <c r="D90" s="1">
        <v>75525</v>
      </c>
      <c r="E90" s="1" t="s">
        <v>294</v>
      </c>
      <c r="F90" s="1" t="s">
        <v>296</v>
      </c>
      <c r="G90" s="1">
        <v>50</v>
      </c>
      <c r="H90" s="1">
        <v>5</v>
      </c>
      <c r="I90" s="1" t="s">
        <v>298</v>
      </c>
      <c r="J90" s="1">
        <v>30</v>
      </c>
      <c r="K90" s="1" t="s">
        <v>301</v>
      </c>
      <c r="L90" s="1" t="s">
        <v>306</v>
      </c>
      <c r="M90" s="1">
        <v>4</v>
      </c>
      <c r="N90" s="1">
        <v>5</v>
      </c>
      <c r="O90" s="1">
        <v>71748.75</v>
      </c>
      <c r="P90" s="1">
        <f>Table1[[#This Row],[Rooms Booked]]/Table1[[#This Row],[Rooms Available]]*100</f>
        <v>10</v>
      </c>
      <c r="Q90" s="1">
        <f>Table1[[#This Row],[Revenue]]/Table1[[#This Row],[Rooms Booked]]</f>
        <v>15105</v>
      </c>
    </row>
    <row r="91" spans="1:17" x14ac:dyDescent="0.25">
      <c r="A91" s="1" t="s">
        <v>20</v>
      </c>
      <c r="B91" s="1" t="s">
        <v>23</v>
      </c>
      <c r="C91" s="1" t="s">
        <v>104</v>
      </c>
      <c r="D91" s="1">
        <v>38724</v>
      </c>
      <c r="E91" s="1" t="s">
        <v>294</v>
      </c>
      <c r="F91" s="1" t="s">
        <v>296</v>
      </c>
      <c r="G91" s="1">
        <v>50</v>
      </c>
      <c r="H91" s="1">
        <v>2</v>
      </c>
      <c r="I91" s="1" t="s">
        <v>298</v>
      </c>
      <c r="J91" s="1">
        <v>14</v>
      </c>
      <c r="K91" s="1" t="s">
        <v>301</v>
      </c>
      <c r="L91" s="1" t="s">
        <v>304</v>
      </c>
      <c r="M91" s="1">
        <v>2</v>
      </c>
      <c r="N91" s="1">
        <v>15</v>
      </c>
      <c r="O91" s="1">
        <v>32915.4</v>
      </c>
      <c r="P91" s="1">
        <f>Table1[[#This Row],[Rooms Booked]]/Table1[[#This Row],[Rooms Available]]*100</f>
        <v>4</v>
      </c>
      <c r="Q91" s="1">
        <f>Table1[[#This Row],[Revenue]]/Table1[[#This Row],[Rooms Booked]]</f>
        <v>19362</v>
      </c>
    </row>
    <row r="92" spans="1:17" x14ac:dyDescent="0.25">
      <c r="A92" s="1" t="s">
        <v>15</v>
      </c>
      <c r="B92" s="1" t="s">
        <v>21</v>
      </c>
      <c r="C92" s="1" t="s">
        <v>105</v>
      </c>
      <c r="D92" s="1">
        <v>137330</v>
      </c>
      <c r="E92" s="1" t="s">
        <v>291</v>
      </c>
      <c r="F92" s="1" t="s">
        <v>296</v>
      </c>
      <c r="G92" s="1">
        <v>50</v>
      </c>
      <c r="H92" s="1">
        <v>5</v>
      </c>
      <c r="I92" s="1" t="s">
        <v>298</v>
      </c>
      <c r="J92" s="1">
        <v>1</v>
      </c>
      <c r="K92" s="1" t="s">
        <v>301</v>
      </c>
      <c r="L92" s="1" t="s">
        <v>303</v>
      </c>
      <c r="M92" s="1">
        <v>3</v>
      </c>
      <c r="N92" s="1">
        <v>15</v>
      </c>
      <c r="O92" s="1">
        <v>116730.5</v>
      </c>
      <c r="P92" s="1">
        <f>Table1[[#This Row],[Rooms Booked]]/Table1[[#This Row],[Rooms Available]]*100</f>
        <v>10</v>
      </c>
      <c r="Q92" s="1">
        <f>Table1[[#This Row],[Revenue]]/Table1[[#This Row],[Rooms Booked]]</f>
        <v>27466</v>
      </c>
    </row>
    <row r="93" spans="1:17" x14ac:dyDescent="0.25">
      <c r="A93" s="1" t="s">
        <v>16</v>
      </c>
      <c r="B93" s="1" t="s">
        <v>23</v>
      </c>
      <c r="C93" s="1" t="s">
        <v>100</v>
      </c>
      <c r="D93" s="1">
        <v>64494</v>
      </c>
      <c r="E93" s="1" t="s">
        <v>294</v>
      </c>
      <c r="F93" s="1" t="s">
        <v>296</v>
      </c>
      <c r="G93" s="1">
        <v>50</v>
      </c>
      <c r="H93" s="1">
        <v>2</v>
      </c>
      <c r="I93" s="1" t="s">
        <v>298</v>
      </c>
      <c r="J93" s="1">
        <v>24</v>
      </c>
      <c r="K93" s="1" t="s">
        <v>300</v>
      </c>
      <c r="L93" s="1" t="s">
        <v>303</v>
      </c>
      <c r="M93" s="1">
        <v>3</v>
      </c>
      <c r="N93" s="1">
        <v>5</v>
      </c>
      <c r="O93" s="1">
        <v>61269.3</v>
      </c>
      <c r="P93" s="1">
        <f>Table1[[#This Row],[Rooms Booked]]/Table1[[#This Row],[Rooms Available]]*100</f>
        <v>4</v>
      </c>
      <c r="Q93" s="1">
        <f>Table1[[#This Row],[Revenue]]/Table1[[#This Row],[Rooms Booked]]</f>
        <v>32247</v>
      </c>
    </row>
    <row r="94" spans="1:17" x14ac:dyDescent="0.25">
      <c r="A94" s="1" t="s">
        <v>18</v>
      </c>
      <c r="B94" s="1" t="s">
        <v>21</v>
      </c>
      <c r="C94" s="1" t="s">
        <v>106</v>
      </c>
      <c r="D94" s="1">
        <v>45520</v>
      </c>
      <c r="E94" s="1" t="s">
        <v>293</v>
      </c>
      <c r="F94" s="1" t="s">
        <v>296</v>
      </c>
      <c r="G94" s="1">
        <v>50</v>
      </c>
      <c r="H94" s="1">
        <v>4</v>
      </c>
      <c r="I94" s="1" t="s">
        <v>298</v>
      </c>
      <c r="J94" s="1">
        <v>30</v>
      </c>
      <c r="K94" s="1" t="s">
        <v>301</v>
      </c>
      <c r="L94" s="1" t="s">
        <v>302</v>
      </c>
      <c r="M94" s="1">
        <v>3</v>
      </c>
      <c r="N94" s="1">
        <v>10</v>
      </c>
      <c r="O94" s="1">
        <v>40968</v>
      </c>
      <c r="P94" s="1">
        <f>Table1[[#This Row],[Rooms Booked]]/Table1[[#This Row],[Rooms Available]]*100</f>
        <v>8</v>
      </c>
      <c r="Q94" s="1">
        <f>Table1[[#This Row],[Revenue]]/Table1[[#This Row],[Rooms Booked]]</f>
        <v>11380</v>
      </c>
    </row>
    <row r="95" spans="1:17" x14ac:dyDescent="0.25">
      <c r="A95" s="1" t="s">
        <v>17</v>
      </c>
      <c r="B95" s="1" t="s">
        <v>21</v>
      </c>
      <c r="C95" s="1" t="s">
        <v>107</v>
      </c>
      <c r="D95" s="1">
        <v>41184</v>
      </c>
      <c r="E95" s="1" t="s">
        <v>293</v>
      </c>
      <c r="F95" s="1" t="s">
        <v>296</v>
      </c>
      <c r="G95" s="1">
        <v>50</v>
      </c>
      <c r="H95" s="1">
        <v>1</v>
      </c>
      <c r="I95" s="1" t="s">
        <v>298</v>
      </c>
      <c r="J95" s="1">
        <v>26</v>
      </c>
      <c r="K95" s="1" t="s">
        <v>300</v>
      </c>
      <c r="L95" s="1" t="s">
        <v>305</v>
      </c>
      <c r="M95" s="1">
        <v>1</v>
      </c>
      <c r="N95" s="1">
        <v>5</v>
      </c>
      <c r="O95" s="1">
        <v>39124.800000000003</v>
      </c>
      <c r="P95" s="1">
        <f>Table1[[#This Row],[Rooms Booked]]/Table1[[#This Row],[Rooms Available]]*100</f>
        <v>2</v>
      </c>
      <c r="Q95" s="1">
        <f>Table1[[#This Row],[Revenue]]/Table1[[#This Row],[Rooms Booked]]</f>
        <v>41184</v>
      </c>
    </row>
    <row r="96" spans="1:17" x14ac:dyDescent="0.25">
      <c r="A96" s="1" t="s">
        <v>15</v>
      </c>
      <c r="B96" s="1" t="s">
        <v>22</v>
      </c>
      <c r="C96" s="1" t="s">
        <v>108</v>
      </c>
      <c r="D96" s="1">
        <v>29692</v>
      </c>
      <c r="E96" s="1" t="s">
        <v>292</v>
      </c>
      <c r="F96" s="1" t="s">
        <v>295</v>
      </c>
      <c r="G96" s="1">
        <v>50</v>
      </c>
      <c r="H96" s="1">
        <v>4</v>
      </c>
      <c r="I96" s="1" t="s">
        <v>298</v>
      </c>
      <c r="J96" s="1">
        <v>9</v>
      </c>
      <c r="K96" s="1" t="s">
        <v>300</v>
      </c>
      <c r="L96" s="1" t="s">
        <v>304</v>
      </c>
      <c r="M96" s="1">
        <v>5</v>
      </c>
      <c r="N96" s="1">
        <v>10</v>
      </c>
      <c r="O96" s="1">
        <v>26722.799999999999</v>
      </c>
      <c r="P96" s="1">
        <f>Table1[[#This Row],[Rooms Booked]]/Table1[[#This Row],[Rooms Available]]*100</f>
        <v>8</v>
      </c>
      <c r="Q96" s="1">
        <f>Table1[[#This Row],[Revenue]]/Table1[[#This Row],[Rooms Booked]]</f>
        <v>7423</v>
      </c>
    </row>
    <row r="97" spans="1:17" x14ac:dyDescent="0.25">
      <c r="A97" s="1" t="s">
        <v>15</v>
      </c>
      <c r="B97" s="1" t="s">
        <v>23</v>
      </c>
      <c r="C97" s="1" t="s">
        <v>30</v>
      </c>
      <c r="D97" s="1">
        <v>22756</v>
      </c>
      <c r="E97" s="1" t="s">
        <v>294</v>
      </c>
      <c r="F97" s="1" t="s">
        <v>296</v>
      </c>
      <c r="G97" s="1">
        <v>50</v>
      </c>
      <c r="H97" s="1">
        <v>4</v>
      </c>
      <c r="I97" s="1" t="s">
        <v>298</v>
      </c>
      <c r="J97" s="1">
        <v>19</v>
      </c>
      <c r="K97" s="1" t="s">
        <v>301</v>
      </c>
      <c r="L97" s="1" t="s">
        <v>306</v>
      </c>
      <c r="M97" s="1">
        <v>3</v>
      </c>
      <c r="N97" s="1">
        <v>15</v>
      </c>
      <c r="O97" s="1">
        <v>19342.599999999999</v>
      </c>
      <c r="P97" s="1">
        <f>Table1[[#This Row],[Rooms Booked]]/Table1[[#This Row],[Rooms Available]]*100</f>
        <v>8</v>
      </c>
      <c r="Q97" s="1">
        <f>Table1[[#This Row],[Revenue]]/Table1[[#This Row],[Rooms Booked]]</f>
        <v>5689</v>
      </c>
    </row>
    <row r="98" spans="1:17" x14ac:dyDescent="0.25">
      <c r="A98" s="1" t="s">
        <v>15</v>
      </c>
      <c r="B98" s="1" t="s">
        <v>23</v>
      </c>
      <c r="C98" s="1" t="s">
        <v>109</v>
      </c>
      <c r="D98" s="1">
        <v>75744</v>
      </c>
      <c r="E98" s="1" t="s">
        <v>293</v>
      </c>
      <c r="F98" s="1" t="s">
        <v>296</v>
      </c>
      <c r="G98" s="1">
        <v>50</v>
      </c>
      <c r="H98" s="1">
        <v>4</v>
      </c>
      <c r="I98" s="1" t="s">
        <v>298</v>
      </c>
      <c r="J98" s="1">
        <v>3</v>
      </c>
      <c r="K98" s="1" t="s">
        <v>300</v>
      </c>
      <c r="L98" s="1" t="s">
        <v>304</v>
      </c>
      <c r="M98" s="1">
        <v>3</v>
      </c>
      <c r="N98" s="1">
        <v>5</v>
      </c>
      <c r="O98" s="1">
        <v>71956.800000000003</v>
      </c>
      <c r="P98" s="1">
        <f>Table1[[#This Row],[Rooms Booked]]/Table1[[#This Row],[Rooms Available]]*100</f>
        <v>8</v>
      </c>
      <c r="Q98" s="1">
        <f>Table1[[#This Row],[Revenue]]/Table1[[#This Row],[Rooms Booked]]</f>
        <v>18936</v>
      </c>
    </row>
    <row r="99" spans="1:17" x14ac:dyDescent="0.25">
      <c r="A99" s="1" t="s">
        <v>19</v>
      </c>
      <c r="B99" s="1" t="s">
        <v>22</v>
      </c>
      <c r="C99" s="1" t="s">
        <v>109</v>
      </c>
      <c r="D99" s="1">
        <v>165680</v>
      </c>
      <c r="E99" s="1" t="s">
        <v>293</v>
      </c>
      <c r="F99" s="1" t="s">
        <v>296</v>
      </c>
      <c r="G99" s="1">
        <v>50</v>
      </c>
      <c r="H99" s="1">
        <v>4</v>
      </c>
      <c r="I99" s="1" t="s">
        <v>298</v>
      </c>
      <c r="J99" s="1">
        <v>23</v>
      </c>
      <c r="K99" s="1" t="s">
        <v>301</v>
      </c>
      <c r="L99" s="1" t="s">
        <v>302</v>
      </c>
      <c r="M99" s="1">
        <v>5</v>
      </c>
      <c r="N99" s="1">
        <v>10</v>
      </c>
      <c r="O99" s="1">
        <v>149112</v>
      </c>
      <c r="P99" s="1">
        <f>Table1[[#This Row],[Rooms Booked]]/Table1[[#This Row],[Rooms Available]]*100</f>
        <v>8</v>
      </c>
      <c r="Q99" s="1">
        <f>Table1[[#This Row],[Revenue]]/Table1[[#This Row],[Rooms Booked]]</f>
        <v>41420</v>
      </c>
    </row>
    <row r="100" spans="1:17" x14ac:dyDescent="0.25">
      <c r="A100" s="1" t="s">
        <v>16</v>
      </c>
      <c r="B100" s="1" t="s">
        <v>23</v>
      </c>
      <c r="C100" s="1" t="s">
        <v>110</v>
      </c>
      <c r="D100" s="1">
        <v>168990</v>
      </c>
      <c r="E100" s="1" t="s">
        <v>291</v>
      </c>
      <c r="F100" s="1" t="s">
        <v>297</v>
      </c>
      <c r="G100" s="1">
        <v>50</v>
      </c>
      <c r="H100" s="1">
        <v>5</v>
      </c>
      <c r="I100" s="1" t="s">
        <v>298</v>
      </c>
      <c r="J100" s="1">
        <v>3</v>
      </c>
      <c r="K100" s="1" t="s">
        <v>301</v>
      </c>
      <c r="L100" s="1" t="s">
        <v>303</v>
      </c>
      <c r="M100" s="1">
        <v>4</v>
      </c>
      <c r="N100" s="1">
        <v>10</v>
      </c>
      <c r="O100" s="1">
        <v>152091</v>
      </c>
      <c r="P100" s="1">
        <f>Table1[[#This Row],[Rooms Booked]]/Table1[[#This Row],[Rooms Available]]*100</f>
        <v>10</v>
      </c>
      <c r="Q100" s="1">
        <f>Table1[[#This Row],[Revenue]]/Table1[[#This Row],[Rooms Booked]]</f>
        <v>33798</v>
      </c>
    </row>
    <row r="101" spans="1:17" x14ac:dyDescent="0.25">
      <c r="A101" s="1" t="s">
        <v>17</v>
      </c>
      <c r="B101" s="1" t="s">
        <v>22</v>
      </c>
      <c r="C101" s="1" t="s">
        <v>111</v>
      </c>
      <c r="D101" s="1">
        <v>96832</v>
      </c>
      <c r="E101" s="1" t="s">
        <v>294</v>
      </c>
      <c r="F101" s="1" t="s">
        <v>297</v>
      </c>
      <c r="G101" s="1">
        <v>50</v>
      </c>
      <c r="H101" s="1">
        <v>4</v>
      </c>
      <c r="I101" s="1" t="s">
        <v>298</v>
      </c>
      <c r="J101" s="1">
        <v>25</v>
      </c>
      <c r="K101" s="1" t="s">
        <v>300</v>
      </c>
      <c r="L101" s="1" t="s">
        <v>303</v>
      </c>
      <c r="M101" s="1">
        <v>1</v>
      </c>
      <c r="N101" s="1">
        <v>5</v>
      </c>
      <c r="O101" s="1">
        <v>91990.399999999994</v>
      </c>
      <c r="P101" s="1">
        <f>Table1[[#This Row],[Rooms Booked]]/Table1[[#This Row],[Rooms Available]]*100</f>
        <v>8</v>
      </c>
      <c r="Q101" s="1">
        <f>Table1[[#This Row],[Revenue]]/Table1[[#This Row],[Rooms Booked]]</f>
        <v>24208</v>
      </c>
    </row>
    <row r="102" spans="1:17" x14ac:dyDescent="0.25">
      <c r="A102" s="1" t="s">
        <v>19</v>
      </c>
      <c r="B102" s="1" t="s">
        <v>22</v>
      </c>
      <c r="C102" s="1" t="s">
        <v>112</v>
      </c>
      <c r="D102" s="1">
        <v>199110</v>
      </c>
      <c r="E102" s="1" t="s">
        <v>293</v>
      </c>
      <c r="F102" s="1" t="s">
        <v>295</v>
      </c>
      <c r="G102" s="1">
        <v>50</v>
      </c>
      <c r="H102" s="1">
        <v>5</v>
      </c>
      <c r="I102" s="1" t="s">
        <v>298</v>
      </c>
      <c r="J102" s="1">
        <v>6</v>
      </c>
      <c r="K102" s="1" t="s">
        <v>301</v>
      </c>
      <c r="L102" s="1" t="s">
        <v>305</v>
      </c>
      <c r="M102" s="1">
        <v>2</v>
      </c>
      <c r="N102" s="1">
        <v>5</v>
      </c>
      <c r="O102" s="1">
        <v>189154.5</v>
      </c>
      <c r="P102" s="1">
        <f>Table1[[#This Row],[Rooms Booked]]/Table1[[#This Row],[Rooms Available]]*100</f>
        <v>10</v>
      </c>
      <c r="Q102" s="1">
        <f>Table1[[#This Row],[Revenue]]/Table1[[#This Row],[Rooms Booked]]</f>
        <v>39822</v>
      </c>
    </row>
    <row r="103" spans="1:17" x14ac:dyDescent="0.25">
      <c r="A103" s="1" t="s">
        <v>16</v>
      </c>
      <c r="B103" s="1" t="s">
        <v>22</v>
      </c>
      <c r="C103" s="1" t="s">
        <v>102</v>
      </c>
      <c r="D103" s="1">
        <v>20572</v>
      </c>
      <c r="E103" s="1" t="s">
        <v>292</v>
      </c>
      <c r="F103" s="1" t="s">
        <v>295</v>
      </c>
      <c r="G103" s="1">
        <v>50</v>
      </c>
      <c r="H103" s="1">
        <v>1</v>
      </c>
      <c r="I103" s="1" t="s">
        <v>298</v>
      </c>
      <c r="J103" s="1">
        <v>20</v>
      </c>
      <c r="K103" s="1" t="s">
        <v>301</v>
      </c>
      <c r="L103" s="1" t="s">
        <v>305</v>
      </c>
      <c r="M103" s="1">
        <v>5</v>
      </c>
      <c r="N103" s="1">
        <v>5</v>
      </c>
      <c r="O103" s="1">
        <v>19543.400000000001</v>
      </c>
      <c r="P103" s="1">
        <f>Table1[[#This Row],[Rooms Booked]]/Table1[[#This Row],[Rooms Available]]*100</f>
        <v>2</v>
      </c>
      <c r="Q103" s="1">
        <f>Table1[[#This Row],[Revenue]]/Table1[[#This Row],[Rooms Booked]]</f>
        <v>20572</v>
      </c>
    </row>
    <row r="104" spans="1:17" x14ac:dyDescent="0.25">
      <c r="A104" s="1" t="s">
        <v>20</v>
      </c>
      <c r="B104" s="1" t="s">
        <v>23</v>
      </c>
      <c r="C104" s="1" t="s">
        <v>113</v>
      </c>
      <c r="D104" s="1">
        <v>43232</v>
      </c>
      <c r="E104" s="1" t="s">
        <v>293</v>
      </c>
      <c r="F104" s="1" t="s">
        <v>296</v>
      </c>
      <c r="G104" s="1">
        <v>50</v>
      </c>
      <c r="H104" s="1">
        <v>2</v>
      </c>
      <c r="I104" s="1" t="s">
        <v>298</v>
      </c>
      <c r="J104" s="1">
        <v>24</v>
      </c>
      <c r="K104" s="1" t="s">
        <v>300</v>
      </c>
      <c r="L104" s="1" t="s">
        <v>306</v>
      </c>
      <c r="M104" s="1">
        <v>5</v>
      </c>
      <c r="N104" s="1">
        <v>10</v>
      </c>
      <c r="O104" s="1">
        <v>38908.800000000003</v>
      </c>
      <c r="P104" s="1">
        <f>Table1[[#This Row],[Rooms Booked]]/Table1[[#This Row],[Rooms Available]]*100</f>
        <v>4</v>
      </c>
      <c r="Q104" s="1">
        <f>Table1[[#This Row],[Revenue]]/Table1[[#This Row],[Rooms Booked]]</f>
        <v>21616</v>
      </c>
    </row>
    <row r="105" spans="1:17" x14ac:dyDescent="0.25">
      <c r="A105" s="1" t="s">
        <v>19</v>
      </c>
      <c r="B105" s="1" t="s">
        <v>21</v>
      </c>
      <c r="C105" s="1" t="s">
        <v>98</v>
      </c>
      <c r="D105" s="1">
        <v>120240</v>
      </c>
      <c r="E105" s="1" t="s">
        <v>293</v>
      </c>
      <c r="F105" s="1" t="s">
        <v>295</v>
      </c>
      <c r="G105" s="1">
        <v>50</v>
      </c>
      <c r="H105" s="1">
        <v>5</v>
      </c>
      <c r="I105" s="1" t="s">
        <v>298</v>
      </c>
      <c r="J105" s="1">
        <v>13</v>
      </c>
      <c r="K105" s="1" t="s">
        <v>301</v>
      </c>
      <c r="L105" s="1" t="s">
        <v>304</v>
      </c>
      <c r="M105" s="1">
        <v>1</v>
      </c>
      <c r="N105" s="1">
        <v>10</v>
      </c>
      <c r="O105" s="1">
        <v>108216</v>
      </c>
      <c r="P105" s="1">
        <f>Table1[[#This Row],[Rooms Booked]]/Table1[[#This Row],[Rooms Available]]*100</f>
        <v>10</v>
      </c>
      <c r="Q105" s="1">
        <f>Table1[[#This Row],[Revenue]]/Table1[[#This Row],[Rooms Booked]]</f>
        <v>24048</v>
      </c>
    </row>
    <row r="106" spans="1:17" x14ac:dyDescent="0.25">
      <c r="A106" s="1" t="s">
        <v>17</v>
      </c>
      <c r="B106" s="1" t="s">
        <v>23</v>
      </c>
      <c r="C106" s="1" t="s">
        <v>114</v>
      </c>
      <c r="D106" s="1">
        <v>60075</v>
      </c>
      <c r="E106" s="1" t="s">
        <v>291</v>
      </c>
      <c r="F106" s="1" t="s">
        <v>296</v>
      </c>
      <c r="G106" s="1">
        <v>50</v>
      </c>
      <c r="H106" s="1">
        <v>3</v>
      </c>
      <c r="I106" s="1" t="s">
        <v>298</v>
      </c>
      <c r="J106" s="1">
        <v>14</v>
      </c>
      <c r="K106" s="1" t="s">
        <v>300</v>
      </c>
      <c r="L106" s="1" t="s">
        <v>304</v>
      </c>
      <c r="M106" s="1">
        <v>3</v>
      </c>
      <c r="N106" s="1">
        <v>15</v>
      </c>
      <c r="O106" s="1">
        <v>51063.75</v>
      </c>
      <c r="P106" s="1">
        <f>Table1[[#This Row],[Rooms Booked]]/Table1[[#This Row],[Rooms Available]]*100</f>
        <v>6</v>
      </c>
      <c r="Q106" s="1">
        <f>Table1[[#This Row],[Revenue]]/Table1[[#This Row],[Rooms Booked]]</f>
        <v>20025</v>
      </c>
    </row>
    <row r="107" spans="1:17" x14ac:dyDescent="0.25">
      <c r="A107" s="1" t="s">
        <v>17</v>
      </c>
      <c r="B107" s="1" t="s">
        <v>21</v>
      </c>
      <c r="C107" s="1" t="s">
        <v>74</v>
      </c>
      <c r="D107" s="1">
        <v>31365</v>
      </c>
      <c r="E107" s="1" t="s">
        <v>291</v>
      </c>
      <c r="F107" s="1" t="s">
        <v>295</v>
      </c>
      <c r="G107" s="1">
        <v>50</v>
      </c>
      <c r="H107" s="1">
        <v>3</v>
      </c>
      <c r="I107" s="1" t="s">
        <v>298</v>
      </c>
      <c r="J107" s="1">
        <v>19</v>
      </c>
      <c r="K107" s="1" t="s">
        <v>301</v>
      </c>
      <c r="L107" s="1" t="s">
        <v>305</v>
      </c>
      <c r="M107" s="1">
        <v>1</v>
      </c>
      <c r="N107" s="1">
        <v>15</v>
      </c>
      <c r="O107" s="1">
        <v>26660.25</v>
      </c>
      <c r="P107" s="1">
        <f>Table1[[#This Row],[Rooms Booked]]/Table1[[#This Row],[Rooms Available]]*100</f>
        <v>6</v>
      </c>
      <c r="Q107" s="1">
        <f>Table1[[#This Row],[Revenue]]/Table1[[#This Row],[Rooms Booked]]</f>
        <v>10455</v>
      </c>
    </row>
    <row r="108" spans="1:17" x14ac:dyDescent="0.25">
      <c r="A108" s="1" t="s">
        <v>17</v>
      </c>
      <c r="B108" s="1" t="s">
        <v>23</v>
      </c>
      <c r="C108" s="1" t="s">
        <v>115</v>
      </c>
      <c r="D108" s="1">
        <v>106995</v>
      </c>
      <c r="E108" s="1" t="s">
        <v>292</v>
      </c>
      <c r="F108" s="1" t="s">
        <v>297</v>
      </c>
      <c r="G108" s="1">
        <v>50</v>
      </c>
      <c r="H108" s="1">
        <v>5</v>
      </c>
      <c r="I108" s="1" t="s">
        <v>298</v>
      </c>
      <c r="J108" s="1">
        <v>18</v>
      </c>
      <c r="K108" s="1" t="s">
        <v>300</v>
      </c>
      <c r="L108" s="1" t="s">
        <v>305</v>
      </c>
      <c r="M108" s="1">
        <v>5</v>
      </c>
      <c r="N108" s="1">
        <v>0</v>
      </c>
      <c r="O108" s="1">
        <v>106995</v>
      </c>
      <c r="P108" s="1">
        <f>Table1[[#This Row],[Rooms Booked]]/Table1[[#This Row],[Rooms Available]]*100</f>
        <v>10</v>
      </c>
      <c r="Q108" s="1">
        <f>Table1[[#This Row],[Revenue]]/Table1[[#This Row],[Rooms Booked]]</f>
        <v>21399</v>
      </c>
    </row>
    <row r="109" spans="1:17" x14ac:dyDescent="0.25">
      <c r="A109" s="1" t="s">
        <v>17</v>
      </c>
      <c r="B109" s="1" t="s">
        <v>21</v>
      </c>
      <c r="C109" s="1" t="s">
        <v>69</v>
      </c>
      <c r="D109" s="1">
        <v>66110</v>
      </c>
      <c r="E109" s="1" t="s">
        <v>294</v>
      </c>
      <c r="F109" s="1" t="s">
        <v>297</v>
      </c>
      <c r="G109" s="1">
        <v>50</v>
      </c>
      <c r="H109" s="1">
        <v>5</v>
      </c>
      <c r="I109" s="1" t="s">
        <v>298</v>
      </c>
      <c r="J109" s="1">
        <v>1</v>
      </c>
      <c r="K109" s="1" t="s">
        <v>300</v>
      </c>
      <c r="L109" s="1" t="s">
        <v>302</v>
      </c>
      <c r="M109" s="1">
        <v>5</v>
      </c>
      <c r="N109" s="1">
        <v>15</v>
      </c>
      <c r="O109" s="1">
        <v>56193.5</v>
      </c>
      <c r="P109" s="1">
        <f>Table1[[#This Row],[Rooms Booked]]/Table1[[#This Row],[Rooms Available]]*100</f>
        <v>10</v>
      </c>
      <c r="Q109" s="1">
        <f>Table1[[#This Row],[Revenue]]/Table1[[#This Row],[Rooms Booked]]</f>
        <v>13222</v>
      </c>
    </row>
    <row r="110" spans="1:17" x14ac:dyDescent="0.25">
      <c r="A110" s="1" t="s">
        <v>18</v>
      </c>
      <c r="B110" s="1" t="s">
        <v>21</v>
      </c>
      <c r="C110" s="1" t="s">
        <v>116</v>
      </c>
      <c r="D110" s="1">
        <v>134307</v>
      </c>
      <c r="E110" s="1" t="s">
        <v>294</v>
      </c>
      <c r="F110" s="1" t="s">
        <v>295</v>
      </c>
      <c r="G110" s="1">
        <v>50</v>
      </c>
      <c r="H110" s="1">
        <v>3</v>
      </c>
      <c r="I110" s="1" t="s">
        <v>298</v>
      </c>
      <c r="J110" s="1">
        <v>1</v>
      </c>
      <c r="K110" s="1" t="s">
        <v>301</v>
      </c>
      <c r="L110" s="1" t="s">
        <v>302</v>
      </c>
      <c r="M110" s="1">
        <v>1</v>
      </c>
      <c r="N110" s="1">
        <v>15</v>
      </c>
      <c r="O110" s="1">
        <v>114160.95</v>
      </c>
      <c r="P110" s="1">
        <f>Table1[[#This Row],[Rooms Booked]]/Table1[[#This Row],[Rooms Available]]*100</f>
        <v>6</v>
      </c>
      <c r="Q110" s="1">
        <f>Table1[[#This Row],[Revenue]]/Table1[[#This Row],[Rooms Booked]]</f>
        <v>44769</v>
      </c>
    </row>
    <row r="111" spans="1:17" x14ac:dyDescent="0.25">
      <c r="A111" s="1" t="s">
        <v>20</v>
      </c>
      <c r="B111" s="1" t="s">
        <v>21</v>
      </c>
      <c r="C111" s="1" t="s">
        <v>33</v>
      </c>
      <c r="D111" s="1">
        <v>0</v>
      </c>
      <c r="E111" s="1" t="s">
        <v>294</v>
      </c>
      <c r="F111" s="1" t="s">
        <v>296</v>
      </c>
      <c r="G111" s="1">
        <v>50</v>
      </c>
      <c r="H111" s="1">
        <v>5</v>
      </c>
      <c r="I111" s="1" t="s">
        <v>299</v>
      </c>
      <c r="J111" s="1">
        <v>30</v>
      </c>
      <c r="K111" s="1" t="s">
        <v>300</v>
      </c>
      <c r="L111" s="1" t="s">
        <v>304</v>
      </c>
      <c r="M111" s="1">
        <v>3</v>
      </c>
      <c r="N111" s="1">
        <v>10</v>
      </c>
      <c r="O111" s="1">
        <v>0</v>
      </c>
      <c r="P111" s="1">
        <f>Table1[[#This Row],[Rooms Booked]]/Table1[[#This Row],[Rooms Available]]*100</f>
        <v>10</v>
      </c>
      <c r="Q111" s="1">
        <f>Table1[[#This Row],[Revenue]]/Table1[[#This Row],[Rooms Booked]]</f>
        <v>0</v>
      </c>
    </row>
    <row r="112" spans="1:17" x14ac:dyDescent="0.25">
      <c r="A112" s="1" t="s">
        <v>15</v>
      </c>
      <c r="B112" s="1" t="s">
        <v>23</v>
      </c>
      <c r="C112" s="1" t="s">
        <v>117</v>
      </c>
      <c r="D112" s="1">
        <v>34772</v>
      </c>
      <c r="E112" s="1" t="s">
        <v>293</v>
      </c>
      <c r="F112" s="1" t="s">
        <v>296</v>
      </c>
      <c r="G112" s="1">
        <v>50</v>
      </c>
      <c r="H112" s="1">
        <v>2</v>
      </c>
      <c r="I112" s="1" t="s">
        <v>298</v>
      </c>
      <c r="J112" s="1">
        <v>6</v>
      </c>
      <c r="K112" s="1" t="s">
        <v>301</v>
      </c>
      <c r="L112" s="1" t="s">
        <v>303</v>
      </c>
      <c r="M112" s="1">
        <v>5</v>
      </c>
      <c r="N112" s="1">
        <v>5</v>
      </c>
      <c r="O112" s="1">
        <v>33033.4</v>
      </c>
      <c r="P112" s="1">
        <f>Table1[[#This Row],[Rooms Booked]]/Table1[[#This Row],[Rooms Available]]*100</f>
        <v>4</v>
      </c>
      <c r="Q112" s="1">
        <f>Table1[[#This Row],[Revenue]]/Table1[[#This Row],[Rooms Booked]]</f>
        <v>17386</v>
      </c>
    </row>
    <row r="113" spans="1:17" x14ac:dyDescent="0.25">
      <c r="A113" s="1" t="s">
        <v>16</v>
      </c>
      <c r="B113" s="1" t="s">
        <v>21</v>
      </c>
      <c r="C113" s="1" t="s">
        <v>118</v>
      </c>
      <c r="D113" s="1">
        <v>16756</v>
      </c>
      <c r="E113" s="1" t="s">
        <v>293</v>
      </c>
      <c r="F113" s="1" t="s">
        <v>295</v>
      </c>
      <c r="G113" s="1">
        <v>50</v>
      </c>
      <c r="H113" s="1">
        <v>2</v>
      </c>
      <c r="I113" s="1" t="s">
        <v>298</v>
      </c>
      <c r="J113" s="1">
        <v>25</v>
      </c>
      <c r="K113" s="1" t="s">
        <v>301</v>
      </c>
      <c r="L113" s="1" t="s">
        <v>303</v>
      </c>
      <c r="M113" s="1">
        <v>5</v>
      </c>
      <c r="N113" s="1">
        <v>10</v>
      </c>
      <c r="O113" s="1">
        <v>15080.4</v>
      </c>
      <c r="P113" s="1">
        <f>Table1[[#This Row],[Rooms Booked]]/Table1[[#This Row],[Rooms Available]]*100</f>
        <v>4</v>
      </c>
      <c r="Q113" s="1">
        <f>Table1[[#This Row],[Revenue]]/Table1[[#This Row],[Rooms Booked]]</f>
        <v>8378</v>
      </c>
    </row>
    <row r="114" spans="1:17" x14ac:dyDescent="0.25">
      <c r="A114" s="1" t="s">
        <v>20</v>
      </c>
      <c r="B114" s="1" t="s">
        <v>22</v>
      </c>
      <c r="C114" s="1" t="s">
        <v>119</v>
      </c>
      <c r="D114" s="1">
        <v>47898</v>
      </c>
      <c r="E114" s="1" t="s">
        <v>291</v>
      </c>
      <c r="F114" s="1" t="s">
        <v>295</v>
      </c>
      <c r="G114" s="1">
        <v>50</v>
      </c>
      <c r="H114" s="1">
        <v>2</v>
      </c>
      <c r="I114" s="1" t="s">
        <v>298</v>
      </c>
      <c r="J114" s="1">
        <v>12</v>
      </c>
      <c r="K114" s="1" t="s">
        <v>301</v>
      </c>
      <c r="L114" s="1" t="s">
        <v>304</v>
      </c>
      <c r="M114" s="1">
        <v>2</v>
      </c>
      <c r="N114" s="1">
        <v>10</v>
      </c>
      <c r="O114" s="1">
        <v>43108.2</v>
      </c>
      <c r="P114" s="1">
        <f>Table1[[#This Row],[Rooms Booked]]/Table1[[#This Row],[Rooms Available]]*100</f>
        <v>4</v>
      </c>
      <c r="Q114" s="1">
        <f>Table1[[#This Row],[Revenue]]/Table1[[#This Row],[Rooms Booked]]</f>
        <v>23949</v>
      </c>
    </row>
    <row r="115" spans="1:17" x14ac:dyDescent="0.25">
      <c r="A115" s="1" t="s">
        <v>18</v>
      </c>
      <c r="B115" s="1" t="s">
        <v>23</v>
      </c>
      <c r="C115" s="1" t="s">
        <v>51</v>
      </c>
      <c r="D115" s="1">
        <v>0</v>
      </c>
      <c r="E115" s="1" t="s">
        <v>294</v>
      </c>
      <c r="F115" s="1" t="s">
        <v>296</v>
      </c>
      <c r="G115" s="1">
        <v>50</v>
      </c>
      <c r="H115" s="1">
        <v>2</v>
      </c>
      <c r="I115" s="1" t="s">
        <v>299</v>
      </c>
      <c r="J115" s="1">
        <v>3</v>
      </c>
      <c r="K115" s="1" t="s">
        <v>301</v>
      </c>
      <c r="L115" s="1" t="s">
        <v>303</v>
      </c>
      <c r="M115" s="1">
        <v>1</v>
      </c>
      <c r="N115" s="1">
        <v>15</v>
      </c>
      <c r="O115" s="1">
        <v>0</v>
      </c>
      <c r="P115" s="1">
        <f>Table1[[#This Row],[Rooms Booked]]/Table1[[#This Row],[Rooms Available]]*100</f>
        <v>4</v>
      </c>
      <c r="Q115" s="1">
        <f>Table1[[#This Row],[Revenue]]/Table1[[#This Row],[Rooms Booked]]</f>
        <v>0</v>
      </c>
    </row>
    <row r="116" spans="1:17" x14ac:dyDescent="0.25">
      <c r="A116" s="1" t="s">
        <v>20</v>
      </c>
      <c r="B116" s="1" t="s">
        <v>21</v>
      </c>
      <c r="C116" s="1" t="s">
        <v>101</v>
      </c>
      <c r="D116" s="1">
        <v>92190</v>
      </c>
      <c r="E116" s="1" t="s">
        <v>294</v>
      </c>
      <c r="F116" s="1" t="s">
        <v>295</v>
      </c>
      <c r="G116" s="1">
        <v>50</v>
      </c>
      <c r="H116" s="1">
        <v>5</v>
      </c>
      <c r="I116" s="1" t="s">
        <v>298</v>
      </c>
      <c r="J116" s="1">
        <v>22</v>
      </c>
      <c r="K116" s="1" t="s">
        <v>301</v>
      </c>
      <c r="L116" s="1" t="s">
        <v>302</v>
      </c>
      <c r="M116" s="1">
        <v>2</v>
      </c>
      <c r="N116" s="1">
        <v>0</v>
      </c>
      <c r="O116" s="1">
        <v>92190</v>
      </c>
      <c r="P116" s="1">
        <f>Table1[[#This Row],[Rooms Booked]]/Table1[[#This Row],[Rooms Available]]*100</f>
        <v>10</v>
      </c>
      <c r="Q116" s="1">
        <f>Table1[[#This Row],[Revenue]]/Table1[[#This Row],[Rooms Booked]]</f>
        <v>18438</v>
      </c>
    </row>
    <row r="117" spans="1:17" x14ac:dyDescent="0.25">
      <c r="A117" s="1" t="s">
        <v>17</v>
      </c>
      <c r="B117" s="1" t="s">
        <v>21</v>
      </c>
      <c r="C117" s="1" t="s">
        <v>120</v>
      </c>
      <c r="D117" s="1">
        <v>72630</v>
      </c>
      <c r="E117" s="1" t="s">
        <v>294</v>
      </c>
      <c r="F117" s="1" t="s">
        <v>296</v>
      </c>
      <c r="G117" s="1">
        <v>50</v>
      </c>
      <c r="H117" s="1">
        <v>5</v>
      </c>
      <c r="I117" s="1" t="s">
        <v>298</v>
      </c>
      <c r="J117" s="1">
        <v>28</v>
      </c>
      <c r="K117" s="1" t="s">
        <v>300</v>
      </c>
      <c r="L117" s="1" t="s">
        <v>305</v>
      </c>
      <c r="M117" s="1">
        <v>3</v>
      </c>
      <c r="N117" s="1">
        <v>15</v>
      </c>
      <c r="O117" s="1">
        <v>61735.5</v>
      </c>
      <c r="P117" s="1">
        <f>Table1[[#This Row],[Rooms Booked]]/Table1[[#This Row],[Rooms Available]]*100</f>
        <v>10</v>
      </c>
      <c r="Q117" s="1">
        <f>Table1[[#This Row],[Revenue]]/Table1[[#This Row],[Rooms Booked]]</f>
        <v>14526</v>
      </c>
    </row>
    <row r="118" spans="1:17" x14ac:dyDescent="0.25">
      <c r="A118" s="1" t="s">
        <v>16</v>
      </c>
      <c r="B118" s="1" t="s">
        <v>21</v>
      </c>
      <c r="C118" s="1" t="s">
        <v>121</v>
      </c>
      <c r="D118" s="1">
        <v>71760</v>
      </c>
      <c r="E118" s="1" t="s">
        <v>294</v>
      </c>
      <c r="F118" s="1" t="s">
        <v>297</v>
      </c>
      <c r="G118" s="1">
        <v>50</v>
      </c>
      <c r="H118" s="1">
        <v>5</v>
      </c>
      <c r="I118" s="1" t="s">
        <v>298</v>
      </c>
      <c r="J118" s="1">
        <v>11</v>
      </c>
      <c r="K118" s="1" t="s">
        <v>300</v>
      </c>
      <c r="L118" s="1" t="s">
        <v>304</v>
      </c>
      <c r="M118" s="1">
        <v>4</v>
      </c>
      <c r="N118" s="1">
        <v>5</v>
      </c>
      <c r="O118" s="1">
        <v>68172</v>
      </c>
      <c r="P118" s="1">
        <f>Table1[[#This Row],[Rooms Booked]]/Table1[[#This Row],[Rooms Available]]*100</f>
        <v>10</v>
      </c>
      <c r="Q118" s="1">
        <f>Table1[[#This Row],[Revenue]]/Table1[[#This Row],[Rooms Booked]]</f>
        <v>14352</v>
      </c>
    </row>
    <row r="119" spans="1:17" x14ac:dyDescent="0.25">
      <c r="A119" s="1" t="s">
        <v>16</v>
      </c>
      <c r="B119" s="1" t="s">
        <v>21</v>
      </c>
      <c r="C119" s="1" t="s">
        <v>122</v>
      </c>
      <c r="D119" s="1">
        <v>38976</v>
      </c>
      <c r="E119" s="1" t="s">
        <v>292</v>
      </c>
      <c r="F119" s="1" t="s">
        <v>297</v>
      </c>
      <c r="G119" s="1">
        <v>50</v>
      </c>
      <c r="H119" s="1">
        <v>3</v>
      </c>
      <c r="I119" s="1" t="s">
        <v>298</v>
      </c>
      <c r="J119" s="1">
        <v>19</v>
      </c>
      <c r="K119" s="1" t="s">
        <v>300</v>
      </c>
      <c r="L119" s="1" t="s">
        <v>306</v>
      </c>
      <c r="M119" s="1">
        <v>4</v>
      </c>
      <c r="N119" s="1">
        <v>10</v>
      </c>
      <c r="O119" s="1">
        <v>35078.400000000001</v>
      </c>
      <c r="P119" s="1">
        <f>Table1[[#This Row],[Rooms Booked]]/Table1[[#This Row],[Rooms Available]]*100</f>
        <v>6</v>
      </c>
      <c r="Q119" s="1">
        <f>Table1[[#This Row],[Revenue]]/Table1[[#This Row],[Rooms Booked]]</f>
        <v>12992</v>
      </c>
    </row>
    <row r="120" spans="1:17" x14ac:dyDescent="0.25">
      <c r="A120" s="1" t="s">
        <v>20</v>
      </c>
      <c r="B120" s="1" t="s">
        <v>23</v>
      </c>
      <c r="C120" s="1" t="s">
        <v>123</v>
      </c>
      <c r="D120" s="1">
        <v>26990</v>
      </c>
      <c r="E120" s="1" t="s">
        <v>292</v>
      </c>
      <c r="F120" s="1" t="s">
        <v>295</v>
      </c>
      <c r="G120" s="1">
        <v>50</v>
      </c>
      <c r="H120" s="1">
        <v>5</v>
      </c>
      <c r="I120" s="1" t="s">
        <v>298</v>
      </c>
      <c r="J120" s="1">
        <v>5</v>
      </c>
      <c r="K120" s="1" t="s">
        <v>301</v>
      </c>
      <c r="L120" s="1" t="s">
        <v>306</v>
      </c>
      <c r="M120" s="1">
        <v>3</v>
      </c>
      <c r="N120" s="1">
        <v>5</v>
      </c>
      <c r="O120" s="1">
        <v>25640.5</v>
      </c>
      <c r="P120" s="1">
        <f>Table1[[#This Row],[Rooms Booked]]/Table1[[#This Row],[Rooms Available]]*100</f>
        <v>10</v>
      </c>
      <c r="Q120" s="1">
        <f>Table1[[#This Row],[Revenue]]/Table1[[#This Row],[Rooms Booked]]</f>
        <v>5398</v>
      </c>
    </row>
    <row r="121" spans="1:17" x14ac:dyDescent="0.25">
      <c r="A121" s="1" t="s">
        <v>15</v>
      </c>
      <c r="B121" s="1" t="s">
        <v>22</v>
      </c>
      <c r="C121" s="1" t="s">
        <v>124</v>
      </c>
      <c r="D121" s="1">
        <v>31080</v>
      </c>
      <c r="E121" s="1" t="s">
        <v>294</v>
      </c>
      <c r="F121" s="1" t="s">
        <v>295</v>
      </c>
      <c r="G121" s="1">
        <v>50</v>
      </c>
      <c r="H121" s="1">
        <v>2</v>
      </c>
      <c r="I121" s="1" t="s">
        <v>298</v>
      </c>
      <c r="J121" s="1">
        <v>4</v>
      </c>
      <c r="K121" s="1" t="s">
        <v>300</v>
      </c>
      <c r="L121" s="1" t="s">
        <v>302</v>
      </c>
      <c r="M121" s="1">
        <v>5</v>
      </c>
      <c r="N121" s="1">
        <v>10</v>
      </c>
      <c r="O121" s="1">
        <v>27972</v>
      </c>
      <c r="P121" s="1">
        <f>Table1[[#This Row],[Rooms Booked]]/Table1[[#This Row],[Rooms Available]]*100</f>
        <v>4</v>
      </c>
      <c r="Q121" s="1">
        <f>Table1[[#This Row],[Revenue]]/Table1[[#This Row],[Rooms Booked]]</f>
        <v>15540</v>
      </c>
    </row>
    <row r="122" spans="1:17" x14ac:dyDescent="0.25">
      <c r="A122" s="1" t="s">
        <v>17</v>
      </c>
      <c r="B122" s="1" t="s">
        <v>23</v>
      </c>
      <c r="C122" s="1" t="s">
        <v>125</v>
      </c>
      <c r="D122" s="1">
        <v>84856</v>
      </c>
      <c r="E122" s="1" t="s">
        <v>294</v>
      </c>
      <c r="F122" s="1" t="s">
        <v>297</v>
      </c>
      <c r="G122" s="1">
        <v>50</v>
      </c>
      <c r="H122" s="1">
        <v>2</v>
      </c>
      <c r="I122" s="1" t="s">
        <v>298</v>
      </c>
      <c r="J122" s="1">
        <v>1</v>
      </c>
      <c r="K122" s="1" t="s">
        <v>301</v>
      </c>
      <c r="L122" s="1" t="s">
        <v>304</v>
      </c>
      <c r="M122" s="1">
        <v>2</v>
      </c>
      <c r="N122" s="1">
        <v>0</v>
      </c>
      <c r="O122" s="1">
        <v>84856</v>
      </c>
      <c r="P122" s="1">
        <f>Table1[[#This Row],[Rooms Booked]]/Table1[[#This Row],[Rooms Available]]*100</f>
        <v>4</v>
      </c>
      <c r="Q122" s="1">
        <f>Table1[[#This Row],[Revenue]]/Table1[[#This Row],[Rooms Booked]]</f>
        <v>42428</v>
      </c>
    </row>
    <row r="123" spans="1:17" x14ac:dyDescent="0.25">
      <c r="A123" s="1" t="s">
        <v>16</v>
      </c>
      <c r="B123" s="1" t="s">
        <v>23</v>
      </c>
      <c r="C123" s="1" t="s">
        <v>126</v>
      </c>
      <c r="D123" s="1">
        <v>56268</v>
      </c>
      <c r="E123" s="1" t="s">
        <v>292</v>
      </c>
      <c r="F123" s="1" t="s">
        <v>296</v>
      </c>
      <c r="G123" s="1">
        <v>50</v>
      </c>
      <c r="H123" s="1">
        <v>1</v>
      </c>
      <c r="I123" s="1" t="s">
        <v>298</v>
      </c>
      <c r="J123" s="1">
        <v>23</v>
      </c>
      <c r="K123" s="1" t="s">
        <v>301</v>
      </c>
      <c r="L123" s="1" t="s">
        <v>304</v>
      </c>
      <c r="M123" s="1">
        <v>1</v>
      </c>
      <c r="N123" s="1">
        <v>5</v>
      </c>
      <c r="O123" s="1">
        <v>53454.6</v>
      </c>
      <c r="P123" s="1">
        <f>Table1[[#This Row],[Rooms Booked]]/Table1[[#This Row],[Rooms Available]]*100</f>
        <v>2</v>
      </c>
      <c r="Q123" s="1">
        <f>Table1[[#This Row],[Revenue]]/Table1[[#This Row],[Rooms Booked]]</f>
        <v>56268</v>
      </c>
    </row>
    <row r="124" spans="1:17" x14ac:dyDescent="0.25">
      <c r="A124" s="1" t="s">
        <v>17</v>
      </c>
      <c r="B124" s="1" t="s">
        <v>21</v>
      </c>
      <c r="C124" s="1" t="s">
        <v>127</v>
      </c>
      <c r="D124" s="1">
        <v>11088</v>
      </c>
      <c r="E124" s="1" t="s">
        <v>292</v>
      </c>
      <c r="F124" s="1" t="s">
        <v>295</v>
      </c>
      <c r="G124" s="1">
        <v>50</v>
      </c>
      <c r="H124" s="1">
        <v>1</v>
      </c>
      <c r="I124" s="1" t="s">
        <v>298</v>
      </c>
      <c r="J124" s="1">
        <v>10</v>
      </c>
      <c r="K124" s="1" t="s">
        <v>300</v>
      </c>
      <c r="L124" s="1" t="s">
        <v>302</v>
      </c>
      <c r="M124" s="1">
        <v>5</v>
      </c>
      <c r="N124" s="1">
        <v>10</v>
      </c>
      <c r="O124" s="1">
        <v>9979.2000000000007</v>
      </c>
      <c r="P124" s="1">
        <f>Table1[[#This Row],[Rooms Booked]]/Table1[[#This Row],[Rooms Available]]*100</f>
        <v>2</v>
      </c>
      <c r="Q124" s="1">
        <f>Table1[[#This Row],[Revenue]]/Table1[[#This Row],[Rooms Booked]]</f>
        <v>11088</v>
      </c>
    </row>
    <row r="125" spans="1:17" x14ac:dyDescent="0.25">
      <c r="A125" s="1" t="s">
        <v>16</v>
      </c>
      <c r="B125" s="1" t="s">
        <v>21</v>
      </c>
      <c r="C125" s="1" t="s">
        <v>128</v>
      </c>
      <c r="D125" s="1">
        <v>43136</v>
      </c>
      <c r="E125" s="1" t="s">
        <v>291</v>
      </c>
      <c r="F125" s="1" t="s">
        <v>295</v>
      </c>
      <c r="G125" s="1">
        <v>50</v>
      </c>
      <c r="H125" s="1">
        <v>4</v>
      </c>
      <c r="I125" s="1" t="s">
        <v>298</v>
      </c>
      <c r="J125" s="1">
        <v>11</v>
      </c>
      <c r="K125" s="1" t="s">
        <v>301</v>
      </c>
      <c r="L125" s="1" t="s">
        <v>305</v>
      </c>
      <c r="M125" s="1">
        <v>1</v>
      </c>
      <c r="N125" s="1">
        <v>0</v>
      </c>
      <c r="O125" s="1">
        <v>43136</v>
      </c>
      <c r="P125" s="1">
        <f>Table1[[#This Row],[Rooms Booked]]/Table1[[#This Row],[Rooms Available]]*100</f>
        <v>8</v>
      </c>
      <c r="Q125" s="1">
        <f>Table1[[#This Row],[Revenue]]/Table1[[#This Row],[Rooms Booked]]</f>
        <v>10784</v>
      </c>
    </row>
    <row r="126" spans="1:17" x14ac:dyDescent="0.25">
      <c r="A126" s="1" t="s">
        <v>20</v>
      </c>
      <c r="B126" s="1" t="s">
        <v>21</v>
      </c>
      <c r="C126" s="1" t="s">
        <v>129</v>
      </c>
      <c r="D126" s="1">
        <v>39130</v>
      </c>
      <c r="E126" s="1" t="s">
        <v>293</v>
      </c>
      <c r="F126" s="1" t="s">
        <v>296</v>
      </c>
      <c r="G126" s="1">
        <v>50</v>
      </c>
      <c r="H126" s="1">
        <v>5</v>
      </c>
      <c r="I126" s="1" t="s">
        <v>298</v>
      </c>
      <c r="J126" s="1">
        <v>28</v>
      </c>
      <c r="K126" s="1" t="s">
        <v>300</v>
      </c>
      <c r="L126" s="1" t="s">
        <v>302</v>
      </c>
      <c r="M126" s="1">
        <v>1</v>
      </c>
      <c r="N126" s="1">
        <v>10</v>
      </c>
      <c r="O126" s="1">
        <v>35217</v>
      </c>
      <c r="P126" s="1">
        <f>Table1[[#This Row],[Rooms Booked]]/Table1[[#This Row],[Rooms Available]]*100</f>
        <v>10</v>
      </c>
      <c r="Q126" s="1">
        <f>Table1[[#This Row],[Revenue]]/Table1[[#This Row],[Rooms Booked]]</f>
        <v>7826</v>
      </c>
    </row>
    <row r="127" spans="1:17" x14ac:dyDescent="0.25">
      <c r="A127" s="1" t="s">
        <v>17</v>
      </c>
      <c r="B127" s="1" t="s">
        <v>22</v>
      </c>
      <c r="C127" s="1" t="s">
        <v>130</v>
      </c>
      <c r="D127" s="1">
        <v>49155</v>
      </c>
      <c r="E127" s="1" t="s">
        <v>291</v>
      </c>
      <c r="F127" s="1" t="s">
        <v>296</v>
      </c>
      <c r="G127" s="1">
        <v>50</v>
      </c>
      <c r="H127" s="1">
        <v>5</v>
      </c>
      <c r="I127" s="1" t="s">
        <v>298</v>
      </c>
      <c r="J127" s="1">
        <v>20</v>
      </c>
      <c r="K127" s="1" t="s">
        <v>301</v>
      </c>
      <c r="L127" s="1" t="s">
        <v>305</v>
      </c>
      <c r="M127" s="1">
        <v>2</v>
      </c>
      <c r="N127" s="1">
        <v>5</v>
      </c>
      <c r="O127" s="1">
        <v>46697.25</v>
      </c>
      <c r="P127" s="1">
        <f>Table1[[#This Row],[Rooms Booked]]/Table1[[#This Row],[Rooms Available]]*100</f>
        <v>10</v>
      </c>
      <c r="Q127" s="1">
        <f>Table1[[#This Row],[Revenue]]/Table1[[#This Row],[Rooms Booked]]</f>
        <v>9831</v>
      </c>
    </row>
    <row r="128" spans="1:17" x14ac:dyDescent="0.25">
      <c r="A128" s="1" t="s">
        <v>18</v>
      </c>
      <c r="B128" s="1" t="s">
        <v>22</v>
      </c>
      <c r="C128" s="1" t="s">
        <v>78</v>
      </c>
      <c r="D128" s="1">
        <v>70220</v>
      </c>
      <c r="E128" s="1" t="s">
        <v>294</v>
      </c>
      <c r="F128" s="1" t="s">
        <v>296</v>
      </c>
      <c r="G128" s="1">
        <v>50</v>
      </c>
      <c r="H128" s="1">
        <v>5</v>
      </c>
      <c r="I128" s="1" t="s">
        <v>298</v>
      </c>
      <c r="J128" s="1">
        <v>16</v>
      </c>
      <c r="K128" s="1" t="s">
        <v>301</v>
      </c>
      <c r="L128" s="1" t="s">
        <v>304</v>
      </c>
      <c r="M128" s="1">
        <v>1</v>
      </c>
      <c r="N128" s="1">
        <v>15</v>
      </c>
      <c r="O128" s="1">
        <v>59687</v>
      </c>
      <c r="P128" s="1">
        <f>Table1[[#This Row],[Rooms Booked]]/Table1[[#This Row],[Rooms Available]]*100</f>
        <v>10</v>
      </c>
      <c r="Q128" s="1">
        <f>Table1[[#This Row],[Revenue]]/Table1[[#This Row],[Rooms Booked]]</f>
        <v>14044</v>
      </c>
    </row>
    <row r="129" spans="1:17" x14ac:dyDescent="0.25">
      <c r="A129" s="1" t="s">
        <v>19</v>
      </c>
      <c r="B129" s="1" t="s">
        <v>22</v>
      </c>
      <c r="C129" s="1" t="s">
        <v>71</v>
      </c>
      <c r="D129" s="1">
        <v>160080</v>
      </c>
      <c r="E129" s="1" t="s">
        <v>292</v>
      </c>
      <c r="F129" s="1" t="s">
        <v>297</v>
      </c>
      <c r="G129" s="1">
        <v>50</v>
      </c>
      <c r="H129" s="1">
        <v>3</v>
      </c>
      <c r="I129" s="1" t="s">
        <v>298</v>
      </c>
      <c r="J129" s="1">
        <v>10</v>
      </c>
      <c r="K129" s="1" t="s">
        <v>300</v>
      </c>
      <c r="L129" s="1" t="s">
        <v>306</v>
      </c>
      <c r="M129" s="1">
        <v>2</v>
      </c>
      <c r="N129" s="1">
        <v>0</v>
      </c>
      <c r="O129" s="1">
        <v>160080</v>
      </c>
      <c r="P129" s="1">
        <f>Table1[[#This Row],[Rooms Booked]]/Table1[[#This Row],[Rooms Available]]*100</f>
        <v>6</v>
      </c>
      <c r="Q129" s="1">
        <f>Table1[[#This Row],[Revenue]]/Table1[[#This Row],[Rooms Booked]]</f>
        <v>53360</v>
      </c>
    </row>
    <row r="130" spans="1:17" x14ac:dyDescent="0.25">
      <c r="A130" s="1" t="s">
        <v>16</v>
      </c>
      <c r="B130" s="1" t="s">
        <v>21</v>
      </c>
      <c r="C130" s="1" t="s">
        <v>131</v>
      </c>
      <c r="D130" s="1">
        <v>35778</v>
      </c>
      <c r="E130" s="1" t="s">
        <v>291</v>
      </c>
      <c r="F130" s="1" t="s">
        <v>295</v>
      </c>
      <c r="G130" s="1">
        <v>50</v>
      </c>
      <c r="H130" s="1">
        <v>2</v>
      </c>
      <c r="I130" s="1" t="s">
        <v>298</v>
      </c>
      <c r="J130" s="1">
        <v>23</v>
      </c>
      <c r="K130" s="1" t="s">
        <v>300</v>
      </c>
      <c r="L130" s="1" t="s">
        <v>302</v>
      </c>
      <c r="M130" s="1">
        <v>1</v>
      </c>
      <c r="N130" s="1">
        <v>10</v>
      </c>
      <c r="O130" s="1">
        <v>32200.2</v>
      </c>
      <c r="P130" s="1">
        <f>Table1[[#This Row],[Rooms Booked]]/Table1[[#This Row],[Rooms Available]]*100</f>
        <v>4</v>
      </c>
      <c r="Q130" s="1">
        <f>Table1[[#This Row],[Revenue]]/Table1[[#This Row],[Rooms Booked]]</f>
        <v>17889</v>
      </c>
    </row>
    <row r="131" spans="1:17" x14ac:dyDescent="0.25">
      <c r="A131" s="1" t="s">
        <v>17</v>
      </c>
      <c r="B131" s="1" t="s">
        <v>23</v>
      </c>
      <c r="C131" s="1" t="s">
        <v>132</v>
      </c>
      <c r="D131" s="1">
        <v>187920</v>
      </c>
      <c r="E131" s="1" t="s">
        <v>293</v>
      </c>
      <c r="F131" s="1" t="s">
        <v>296</v>
      </c>
      <c r="G131" s="1">
        <v>50</v>
      </c>
      <c r="H131" s="1">
        <v>5</v>
      </c>
      <c r="I131" s="1" t="s">
        <v>298</v>
      </c>
      <c r="J131" s="1">
        <v>23</v>
      </c>
      <c r="K131" s="1" t="s">
        <v>301</v>
      </c>
      <c r="L131" s="1" t="s">
        <v>306</v>
      </c>
      <c r="M131" s="1">
        <v>4</v>
      </c>
      <c r="N131" s="1">
        <v>10</v>
      </c>
      <c r="O131" s="1">
        <v>169128</v>
      </c>
      <c r="P131" s="1">
        <f>Table1[[#This Row],[Rooms Booked]]/Table1[[#This Row],[Rooms Available]]*100</f>
        <v>10</v>
      </c>
      <c r="Q131" s="1">
        <f>Table1[[#This Row],[Revenue]]/Table1[[#This Row],[Rooms Booked]]</f>
        <v>37584</v>
      </c>
    </row>
    <row r="132" spans="1:17" x14ac:dyDescent="0.25">
      <c r="A132" s="1" t="s">
        <v>15</v>
      </c>
      <c r="B132" s="1" t="s">
        <v>21</v>
      </c>
      <c r="C132" s="1" t="s">
        <v>133</v>
      </c>
      <c r="D132" s="1">
        <v>107168</v>
      </c>
      <c r="E132" s="1" t="s">
        <v>292</v>
      </c>
      <c r="F132" s="1" t="s">
        <v>296</v>
      </c>
      <c r="G132" s="1">
        <v>50</v>
      </c>
      <c r="H132" s="1">
        <v>2</v>
      </c>
      <c r="I132" s="1" t="s">
        <v>298</v>
      </c>
      <c r="J132" s="1">
        <v>9</v>
      </c>
      <c r="K132" s="1" t="s">
        <v>301</v>
      </c>
      <c r="L132" s="1" t="s">
        <v>306</v>
      </c>
      <c r="M132" s="1">
        <v>2</v>
      </c>
      <c r="N132" s="1">
        <v>10</v>
      </c>
      <c r="O132" s="1">
        <v>96451.199999999997</v>
      </c>
      <c r="P132" s="1">
        <f>Table1[[#This Row],[Rooms Booked]]/Table1[[#This Row],[Rooms Available]]*100</f>
        <v>4</v>
      </c>
      <c r="Q132" s="1">
        <f>Table1[[#This Row],[Revenue]]/Table1[[#This Row],[Rooms Booked]]</f>
        <v>53584</v>
      </c>
    </row>
    <row r="133" spans="1:17" x14ac:dyDescent="0.25">
      <c r="A133" s="1" t="s">
        <v>15</v>
      </c>
      <c r="B133" s="1" t="s">
        <v>23</v>
      </c>
      <c r="C133" s="1" t="s">
        <v>134</v>
      </c>
      <c r="D133" s="1">
        <v>85680</v>
      </c>
      <c r="E133" s="1" t="s">
        <v>293</v>
      </c>
      <c r="F133" s="1" t="s">
        <v>295</v>
      </c>
      <c r="G133" s="1">
        <v>50</v>
      </c>
      <c r="H133" s="1">
        <v>4</v>
      </c>
      <c r="I133" s="1" t="s">
        <v>298</v>
      </c>
      <c r="J133" s="1">
        <v>28</v>
      </c>
      <c r="K133" s="1" t="s">
        <v>301</v>
      </c>
      <c r="L133" s="1" t="s">
        <v>305</v>
      </c>
      <c r="M133" s="1">
        <v>5</v>
      </c>
      <c r="N133" s="1">
        <v>0</v>
      </c>
      <c r="O133" s="1">
        <v>85680</v>
      </c>
      <c r="P133" s="1">
        <f>Table1[[#This Row],[Rooms Booked]]/Table1[[#This Row],[Rooms Available]]*100</f>
        <v>8</v>
      </c>
      <c r="Q133" s="1">
        <f>Table1[[#This Row],[Revenue]]/Table1[[#This Row],[Rooms Booked]]</f>
        <v>21420</v>
      </c>
    </row>
    <row r="134" spans="1:17" x14ac:dyDescent="0.25">
      <c r="A134" s="1" t="s">
        <v>17</v>
      </c>
      <c r="B134" s="1" t="s">
        <v>23</v>
      </c>
      <c r="C134" s="1" t="s">
        <v>70</v>
      </c>
      <c r="D134" s="1">
        <v>50720</v>
      </c>
      <c r="E134" s="1" t="s">
        <v>291</v>
      </c>
      <c r="F134" s="1" t="s">
        <v>295</v>
      </c>
      <c r="G134" s="1">
        <v>50</v>
      </c>
      <c r="H134" s="1">
        <v>5</v>
      </c>
      <c r="I134" s="1" t="s">
        <v>298</v>
      </c>
      <c r="J134" s="1">
        <v>12</v>
      </c>
      <c r="K134" s="1" t="s">
        <v>301</v>
      </c>
      <c r="L134" s="1" t="s">
        <v>305</v>
      </c>
      <c r="M134" s="1">
        <v>1</v>
      </c>
      <c r="N134" s="1">
        <v>5</v>
      </c>
      <c r="O134" s="1">
        <v>48184</v>
      </c>
      <c r="P134" s="1">
        <f>Table1[[#This Row],[Rooms Booked]]/Table1[[#This Row],[Rooms Available]]*100</f>
        <v>10</v>
      </c>
      <c r="Q134" s="1">
        <f>Table1[[#This Row],[Revenue]]/Table1[[#This Row],[Rooms Booked]]</f>
        <v>10144</v>
      </c>
    </row>
    <row r="135" spans="1:17" x14ac:dyDescent="0.25">
      <c r="A135" s="1" t="s">
        <v>17</v>
      </c>
      <c r="B135" s="1" t="s">
        <v>22</v>
      </c>
      <c r="C135" s="1" t="s">
        <v>135</v>
      </c>
      <c r="D135" s="1">
        <v>63438</v>
      </c>
      <c r="E135" s="1" t="s">
        <v>292</v>
      </c>
      <c r="F135" s="1" t="s">
        <v>297</v>
      </c>
      <c r="G135" s="1">
        <v>50</v>
      </c>
      <c r="H135" s="1">
        <v>3</v>
      </c>
      <c r="I135" s="1" t="s">
        <v>298</v>
      </c>
      <c r="J135" s="1">
        <v>24</v>
      </c>
      <c r="K135" s="1" t="s">
        <v>301</v>
      </c>
      <c r="L135" s="1" t="s">
        <v>303</v>
      </c>
      <c r="M135" s="1">
        <v>4</v>
      </c>
      <c r="N135" s="1">
        <v>10</v>
      </c>
      <c r="O135" s="1">
        <v>57094.2</v>
      </c>
      <c r="P135" s="1">
        <f>Table1[[#This Row],[Rooms Booked]]/Table1[[#This Row],[Rooms Available]]*100</f>
        <v>6</v>
      </c>
      <c r="Q135" s="1">
        <f>Table1[[#This Row],[Revenue]]/Table1[[#This Row],[Rooms Booked]]</f>
        <v>21146</v>
      </c>
    </row>
    <row r="136" spans="1:17" x14ac:dyDescent="0.25">
      <c r="A136" s="1" t="s">
        <v>19</v>
      </c>
      <c r="B136" s="1" t="s">
        <v>22</v>
      </c>
      <c r="C136" s="1" t="s">
        <v>62</v>
      </c>
      <c r="D136" s="1">
        <v>96100</v>
      </c>
      <c r="E136" s="1" t="s">
        <v>294</v>
      </c>
      <c r="F136" s="1" t="s">
        <v>297</v>
      </c>
      <c r="G136" s="1">
        <v>50</v>
      </c>
      <c r="H136" s="1">
        <v>5</v>
      </c>
      <c r="I136" s="1" t="s">
        <v>298</v>
      </c>
      <c r="J136" s="1">
        <v>30</v>
      </c>
      <c r="K136" s="1" t="s">
        <v>300</v>
      </c>
      <c r="L136" s="1" t="s">
        <v>306</v>
      </c>
      <c r="M136" s="1">
        <v>2</v>
      </c>
      <c r="N136" s="1">
        <v>10</v>
      </c>
      <c r="O136" s="1">
        <v>86490</v>
      </c>
      <c r="P136" s="1">
        <f>Table1[[#This Row],[Rooms Booked]]/Table1[[#This Row],[Rooms Available]]*100</f>
        <v>10</v>
      </c>
      <c r="Q136" s="1">
        <f>Table1[[#This Row],[Revenue]]/Table1[[#This Row],[Rooms Booked]]</f>
        <v>19220</v>
      </c>
    </row>
    <row r="137" spans="1:17" x14ac:dyDescent="0.25">
      <c r="A137" s="1" t="s">
        <v>20</v>
      </c>
      <c r="B137" s="1" t="s">
        <v>21</v>
      </c>
      <c r="C137" s="1" t="s">
        <v>84</v>
      </c>
      <c r="D137" s="1">
        <v>43758</v>
      </c>
      <c r="E137" s="1" t="s">
        <v>292</v>
      </c>
      <c r="F137" s="1" t="s">
        <v>296</v>
      </c>
      <c r="G137" s="1">
        <v>50</v>
      </c>
      <c r="H137" s="1">
        <v>3</v>
      </c>
      <c r="I137" s="1" t="s">
        <v>298</v>
      </c>
      <c r="J137" s="1">
        <v>13</v>
      </c>
      <c r="K137" s="1" t="s">
        <v>300</v>
      </c>
      <c r="L137" s="1" t="s">
        <v>303</v>
      </c>
      <c r="M137" s="1">
        <v>3</v>
      </c>
      <c r="N137" s="1">
        <v>0</v>
      </c>
      <c r="O137" s="1">
        <v>43758</v>
      </c>
      <c r="P137" s="1">
        <f>Table1[[#This Row],[Rooms Booked]]/Table1[[#This Row],[Rooms Available]]*100</f>
        <v>6</v>
      </c>
      <c r="Q137" s="1">
        <f>Table1[[#This Row],[Revenue]]/Table1[[#This Row],[Rooms Booked]]</f>
        <v>14586</v>
      </c>
    </row>
    <row r="138" spans="1:17" x14ac:dyDescent="0.25">
      <c r="A138" s="1" t="s">
        <v>15</v>
      </c>
      <c r="B138" s="1" t="s">
        <v>23</v>
      </c>
      <c r="C138" s="1" t="s">
        <v>136</v>
      </c>
      <c r="D138" s="1">
        <v>0</v>
      </c>
      <c r="E138" s="1" t="s">
        <v>293</v>
      </c>
      <c r="F138" s="1" t="s">
        <v>295</v>
      </c>
      <c r="G138" s="1">
        <v>50</v>
      </c>
      <c r="H138" s="1">
        <v>2</v>
      </c>
      <c r="I138" s="1" t="s">
        <v>299</v>
      </c>
      <c r="J138" s="1">
        <v>10</v>
      </c>
      <c r="K138" s="1" t="s">
        <v>300</v>
      </c>
      <c r="L138" s="1" t="s">
        <v>306</v>
      </c>
      <c r="M138" s="1">
        <v>1</v>
      </c>
      <c r="N138" s="1">
        <v>5</v>
      </c>
      <c r="O138" s="1">
        <v>0</v>
      </c>
      <c r="P138" s="1">
        <f>Table1[[#This Row],[Rooms Booked]]/Table1[[#This Row],[Rooms Available]]*100</f>
        <v>4</v>
      </c>
      <c r="Q138" s="1">
        <f>Table1[[#This Row],[Revenue]]/Table1[[#This Row],[Rooms Booked]]</f>
        <v>0</v>
      </c>
    </row>
    <row r="139" spans="1:17" x14ac:dyDescent="0.25">
      <c r="A139" s="1" t="s">
        <v>17</v>
      </c>
      <c r="B139" s="1" t="s">
        <v>23</v>
      </c>
      <c r="C139" s="1" t="s">
        <v>31</v>
      </c>
      <c r="D139" s="1">
        <v>123651</v>
      </c>
      <c r="E139" s="1" t="s">
        <v>294</v>
      </c>
      <c r="F139" s="1" t="s">
        <v>297</v>
      </c>
      <c r="G139" s="1">
        <v>50</v>
      </c>
      <c r="H139" s="1">
        <v>3</v>
      </c>
      <c r="I139" s="1" t="s">
        <v>298</v>
      </c>
      <c r="J139" s="1">
        <v>7</v>
      </c>
      <c r="K139" s="1" t="s">
        <v>301</v>
      </c>
      <c r="L139" s="1" t="s">
        <v>304</v>
      </c>
      <c r="M139" s="1">
        <v>4</v>
      </c>
      <c r="N139" s="1">
        <v>10</v>
      </c>
      <c r="O139" s="1">
        <v>111285.9</v>
      </c>
      <c r="P139" s="1">
        <f>Table1[[#This Row],[Rooms Booked]]/Table1[[#This Row],[Rooms Available]]*100</f>
        <v>6</v>
      </c>
      <c r="Q139" s="1">
        <f>Table1[[#This Row],[Revenue]]/Table1[[#This Row],[Rooms Booked]]</f>
        <v>41217</v>
      </c>
    </row>
    <row r="140" spans="1:17" x14ac:dyDescent="0.25">
      <c r="A140" s="1" t="s">
        <v>20</v>
      </c>
      <c r="B140" s="1" t="s">
        <v>23</v>
      </c>
      <c r="C140" s="1" t="s">
        <v>137</v>
      </c>
      <c r="D140" s="1">
        <v>8366</v>
      </c>
      <c r="E140" s="1" t="s">
        <v>293</v>
      </c>
      <c r="F140" s="1" t="s">
        <v>295</v>
      </c>
      <c r="G140" s="1">
        <v>50</v>
      </c>
      <c r="H140" s="1">
        <v>2</v>
      </c>
      <c r="I140" s="1" t="s">
        <v>298</v>
      </c>
      <c r="J140" s="1">
        <v>24</v>
      </c>
      <c r="K140" s="1" t="s">
        <v>300</v>
      </c>
      <c r="L140" s="1" t="s">
        <v>303</v>
      </c>
      <c r="M140" s="1">
        <v>4</v>
      </c>
      <c r="N140" s="1">
        <v>0</v>
      </c>
      <c r="O140" s="1">
        <v>8366</v>
      </c>
      <c r="P140" s="1">
        <f>Table1[[#This Row],[Rooms Booked]]/Table1[[#This Row],[Rooms Available]]*100</f>
        <v>4</v>
      </c>
      <c r="Q140" s="1">
        <f>Table1[[#This Row],[Revenue]]/Table1[[#This Row],[Rooms Booked]]</f>
        <v>4183</v>
      </c>
    </row>
    <row r="141" spans="1:17" x14ac:dyDescent="0.25">
      <c r="A141" s="1" t="s">
        <v>15</v>
      </c>
      <c r="B141" s="1" t="s">
        <v>23</v>
      </c>
      <c r="C141" s="1" t="s">
        <v>138</v>
      </c>
      <c r="D141" s="1">
        <v>28437</v>
      </c>
      <c r="E141" s="1" t="s">
        <v>294</v>
      </c>
      <c r="F141" s="1" t="s">
        <v>295</v>
      </c>
      <c r="G141" s="1">
        <v>50</v>
      </c>
      <c r="H141" s="1">
        <v>1</v>
      </c>
      <c r="I141" s="1" t="s">
        <v>298</v>
      </c>
      <c r="J141" s="1">
        <v>2</v>
      </c>
      <c r="K141" s="1" t="s">
        <v>300</v>
      </c>
      <c r="L141" s="1" t="s">
        <v>304</v>
      </c>
      <c r="M141" s="1">
        <v>3</v>
      </c>
      <c r="N141" s="1">
        <v>10</v>
      </c>
      <c r="O141" s="1">
        <v>25593.3</v>
      </c>
      <c r="P141" s="1">
        <f>Table1[[#This Row],[Rooms Booked]]/Table1[[#This Row],[Rooms Available]]*100</f>
        <v>2</v>
      </c>
      <c r="Q141" s="1">
        <f>Table1[[#This Row],[Revenue]]/Table1[[#This Row],[Rooms Booked]]</f>
        <v>28437</v>
      </c>
    </row>
    <row r="142" spans="1:17" x14ac:dyDescent="0.25">
      <c r="A142" s="1" t="s">
        <v>20</v>
      </c>
      <c r="B142" s="1" t="s">
        <v>21</v>
      </c>
      <c r="C142" s="1" t="s">
        <v>139</v>
      </c>
      <c r="D142" s="1">
        <v>0</v>
      </c>
      <c r="E142" s="1" t="s">
        <v>294</v>
      </c>
      <c r="F142" s="1" t="s">
        <v>295</v>
      </c>
      <c r="G142" s="1">
        <v>50</v>
      </c>
      <c r="H142" s="1">
        <v>2</v>
      </c>
      <c r="I142" s="1" t="s">
        <v>299</v>
      </c>
      <c r="J142" s="1">
        <v>7</v>
      </c>
      <c r="K142" s="1" t="s">
        <v>300</v>
      </c>
      <c r="L142" s="1" t="s">
        <v>305</v>
      </c>
      <c r="M142" s="1">
        <v>1</v>
      </c>
      <c r="N142" s="1">
        <v>0</v>
      </c>
      <c r="O142" s="1">
        <v>0</v>
      </c>
      <c r="P142" s="1">
        <f>Table1[[#This Row],[Rooms Booked]]/Table1[[#This Row],[Rooms Available]]*100</f>
        <v>4</v>
      </c>
      <c r="Q142" s="1">
        <f>Table1[[#This Row],[Revenue]]/Table1[[#This Row],[Rooms Booked]]</f>
        <v>0</v>
      </c>
    </row>
    <row r="143" spans="1:17" x14ac:dyDescent="0.25">
      <c r="A143" s="1" t="s">
        <v>15</v>
      </c>
      <c r="B143" s="1" t="s">
        <v>22</v>
      </c>
      <c r="C143" s="1" t="s">
        <v>140</v>
      </c>
      <c r="D143" s="1">
        <v>49792</v>
      </c>
      <c r="E143" s="1" t="s">
        <v>293</v>
      </c>
      <c r="F143" s="1" t="s">
        <v>295</v>
      </c>
      <c r="G143" s="1">
        <v>50</v>
      </c>
      <c r="H143" s="1">
        <v>2</v>
      </c>
      <c r="I143" s="1" t="s">
        <v>298</v>
      </c>
      <c r="J143" s="1">
        <v>12</v>
      </c>
      <c r="K143" s="1" t="s">
        <v>300</v>
      </c>
      <c r="L143" s="1" t="s">
        <v>303</v>
      </c>
      <c r="M143" s="1">
        <v>4</v>
      </c>
      <c r="N143" s="1">
        <v>10</v>
      </c>
      <c r="O143" s="1">
        <v>44812.800000000003</v>
      </c>
      <c r="P143" s="1">
        <f>Table1[[#This Row],[Rooms Booked]]/Table1[[#This Row],[Rooms Available]]*100</f>
        <v>4</v>
      </c>
      <c r="Q143" s="1">
        <f>Table1[[#This Row],[Revenue]]/Table1[[#This Row],[Rooms Booked]]</f>
        <v>24896</v>
      </c>
    </row>
    <row r="144" spans="1:17" x14ac:dyDescent="0.25">
      <c r="A144" s="1" t="s">
        <v>15</v>
      </c>
      <c r="B144" s="1" t="s">
        <v>21</v>
      </c>
      <c r="C144" s="1" t="s">
        <v>141</v>
      </c>
      <c r="D144" s="1">
        <v>21736</v>
      </c>
      <c r="E144" s="1" t="s">
        <v>293</v>
      </c>
      <c r="F144" s="1" t="s">
        <v>295</v>
      </c>
      <c r="G144" s="1">
        <v>50</v>
      </c>
      <c r="H144" s="1">
        <v>4</v>
      </c>
      <c r="I144" s="1" t="s">
        <v>298</v>
      </c>
      <c r="J144" s="1">
        <v>12</v>
      </c>
      <c r="K144" s="1" t="s">
        <v>300</v>
      </c>
      <c r="L144" s="1" t="s">
        <v>305</v>
      </c>
      <c r="M144" s="1">
        <v>3</v>
      </c>
      <c r="N144" s="1">
        <v>15</v>
      </c>
      <c r="O144" s="1">
        <v>18475.599999999999</v>
      </c>
      <c r="P144" s="1">
        <f>Table1[[#This Row],[Rooms Booked]]/Table1[[#This Row],[Rooms Available]]*100</f>
        <v>8</v>
      </c>
      <c r="Q144" s="1">
        <f>Table1[[#This Row],[Revenue]]/Table1[[#This Row],[Rooms Booked]]</f>
        <v>5434</v>
      </c>
    </row>
    <row r="145" spans="1:17" x14ac:dyDescent="0.25">
      <c r="A145" s="1" t="s">
        <v>17</v>
      </c>
      <c r="B145" s="1" t="s">
        <v>22</v>
      </c>
      <c r="C145" s="1" t="s">
        <v>142</v>
      </c>
      <c r="D145" s="1">
        <v>13336</v>
      </c>
      <c r="E145" s="1" t="s">
        <v>292</v>
      </c>
      <c r="F145" s="1" t="s">
        <v>295</v>
      </c>
      <c r="G145" s="1">
        <v>50</v>
      </c>
      <c r="H145" s="1">
        <v>1</v>
      </c>
      <c r="I145" s="1" t="s">
        <v>298</v>
      </c>
      <c r="J145" s="1">
        <v>17</v>
      </c>
      <c r="K145" s="1" t="s">
        <v>301</v>
      </c>
      <c r="L145" s="1" t="s">
        <v>302</v>
      </c>
      <c r="M145" s="1">
        <v>2</v>
      </c>
      <c r="N145" s="1">
        <v>10</v>
      </c>
      <c r="O145" s="1">
        <v>12002.4</v>
      </c>
      <c r="P145" s="1">
        <f>Table1[[#This Row],[Rooms Booked]]/Table1[[#This Row],[Rooms Available]]*100</f>
        <v>2</v>
      </c>
      <c r="Q145" s="1">
        <f>Table1[[#This Row],[Revenue]]/Table1[[#This Row],[Rooms Booked]]</f>
        <v>13336</v>
      </c>
    </row>
    <row r="146" spans="1:17" x14ac:dyDescent="0.25">
      <c r="A146" s="1" t="s">
        <v>20</v>
      </c>
      <c r="B146" s="1" t="s">
        <v>22</v>
      </c>
      <c r="C146" s="1" t="s">
        <v>143</v>
      </c>
      <c r="D146" s="1">
        <v>89064</v>
      </c>
      <c r="E146" s="1" t="s">
        <v>293</v>
      </c>
      <c r="F146" s="1" t="s">
        <v>295</v>
      </c>
      <c r="G146" s="1">
        <v>50</v>
      </c>
      <c r="H146" s="1">
        <v>4</v>
      </c>
      <c r="I146" s="1" t="s">
        <v>298</v>
      </c>
      <c r="J146" s="1">
        <v>16</v>
      </c>
      <c r="K146" s="1" t="s">
        <v>300</v>
      </c>
      <c r="L146" s="1" t="s">
        <v>306</v>
      </c>
      <c r="M146" s="1">
        <v>4</v>
      </c>
      <c r="N146" s="1">
        <v>5</v>
      </c>
      <c r="O146" s="1">
        <v>84610.8</v>
      </c>
      <c r="P146" s="1">
        <f>Table1[[#This Row],[Rooms Booked]]/Table1[[#This Row],[Rooms Available]]*100</f>
        <v>8</v>
      </c>
      <c r="Q146" s="1">
        <f>Table1[[#This Row],[Revenue]]/Table1[[#This Row],[Rooms Booked]]</f>
        <v>22266</v>
      </c>
    </row>
    <row r="147" spans="1:17" x14ac:dyDescent="0.25">
      <c r="A147" s="1" t="s">
        <v>17</v>
      </c>
      <c r="B147" s="1" t="s">
        <v>21</v>
      </c>
      <c r="C147" s="1" t="s">
        <v>57</v>
      </c>
      <c r="D147" s="1">
        <v>39090</v>
      </c>
      <c r="E147" s="1" t="s">
        <v>293</v>
      </c>
      <c r="F147" s="1" t="s">
        <v>295</v>
      </c>
      <c r="G147" s="1">
        <v>50</v>
      </c>
      <c r="H147" s="1">
        <v>3</v>
      </c>
      <c r="I147" s="1" t="s">
        <v>298</v>
      </c>
      <c r="J147" s="1">
        <v>1</v>
      </c>
      <c r="K147" s="1" t="s">
        <v>300</v>
      </c>
      <c r="L147" s="1" t="s">
        <v>303</v>
      </c>
      <c r="M147" s="1">
        <v>5</v>
      </c>
      <c r="N147" s="1">
        <v>10</v>
      </c>
      <c r="O147" s="1">
        <v>35181</v>
      </c>
      <c r="P147" s="1">
        <f>Table1[[#This Row],[Rooms Booked]]/Table1[[#This Row],[Rooms Available]]*100</f>
        <v>6</v>
      </c>
      <c r="Q147" s="1">
        <f>Table1[[#This Row],[Revenue]]/Table1[[#This Row],[Rooms Booked]]</f>
        <v>13030</v>
      </c>
    </row>
    <row r="148" spans="1:17" x14ac:dyDescent="0.25">
      <c r="A148" s="1" t="s">
        <v>17</v>
      </c>
      <c r="B148" s="1" t="s">
        <v>22</v>
      </c>
      <c r="C148" s="1" t="s">
        <v>144</v>
      </c>
      <c r="D148" s="1">
        <v>21704</v>
      </c>
      <c r="E148" s="1" t="s">
        <v>294</v>
      </c>
      <c r="F148" s="1" t="s">
        <v>295</v>
      </c>
      <c r="G148" s="1">
        <v>50</v>
      </c>
      <c r="H148" s="1">
        <v>4</v>
      </c>
      <c r="I148" s="1" t="s">
        <v>298</v>
      </c>
      <c r="J148" s="1">
        <v>16</v>
      </c>
      <c r="K148" s="1" t="s">
        <v>301</v>
      </c>
      <c r="L148" s="1" t="s">
        <v>302</v>
      </c>
      <c r="M148" s="1">
        <v>3</v>
      </c>
      <c r="N148" s="1">
        <v>10</v>
      </c>
      <c r="O148" s="1">
        <v>19533.599999999999</v>
      </c>
      <c r="P148" s="1">
        <f>Table1[[#This Row],[Rooms Booked]]/Table1[[#This Row],[Rooms Available]]*100</f>
        <v>8</v>
      </c>
      <c r="Q148" s="1">
        <f>Table1[[#This Row],[Revenue]]/Table1[[#This Row],[Rooms Booked]]</f>
        <v>5426</v>
      </c>
    </row>
    <row r="149" spans="1:17" x14ac:dyDescent="0.25">
      <c r="A149" s="1" t="s">
        <v>15</v>
      </c>
      <c r="B149" s="1" t="s">
        <v>22</v>
      </c>
      <c r="C149" s="1" t="s">
        <v>145</v>
      </c>
      <c r="D149" s="1">
        <v>211536</v>
      </c>
      <c r="E149" s="1" t="s">
        <v>292</v>
      </c>
      <c r="F149" s="1" t="s">
        <v>295</v>
      </c>
      <c r="G149" s="1">
        <v>50</v>
      </c>
      <c r="H149" s="1">
        <v>4</v>
      </c>
      <c r="I149" s="1" t="s">
        <v>298</v>
      </c>
      <c r="J149" s="1">
        <v>18</v>
      </c>
      <c r="K149" s="1" t="s">
        <v>301</v>
      </c>
      <c r="L149" s="1" t="s">
        <v>305</v>
      </c>
      <c r="M149" s="1">
        <v>5</v>
      </c>
      <c r="N149" s="1">
        <v>5</v>
      </c>
      <c r="O149" s="1">
        <v>200959.2</v>
      </c>
      <c r="P149" s="1">
        <f>Table1[[#This Row],[Rooms Booked]]/Table1[[#This Row],[Rooms Available]]*100</f>
        <v>8</v>
      </c>
      <c r="Q149" s="1">
        <f>Table1[[#This Row],[Revenue]]/Table1[[#This Row],[Rooms Booked]]</f>
        <v>52884</v>
      </c>
    </row>
    <row r="150" spans="1:17" x14ac:dyDescent="0.25">
      <c r="A150" s="1" t="s">
        <v>17</v>
      </c>
      <c r="B150" s="1" t="s">
        <v>23</v>
      </c>
      <c r="C150" s="1" t="s">
        <v>50</v>
      </c>
      <c r="D150" s="1">
        <v>65754</v>
      </c>
      <c r="E150" s="1" t="s">
        <v>294</v>
      </c>
      <c r="F150" s="1" t="s">
        <v>296</v>
      </c>
      <c r="G150" s="1">
        <v>50</v>
      </c>
      <c r="H150" s="1">
        <v>2</v>
      </c>
      <c r="I150" s="1" t="s">
        <v>298</v>
      </c>
      <c r="J150" s="1">
        <v>27</v>
      </c>
      <c r="K150" s="1" t="s">
        <v>301</v>
      </c>
      <c r="L150" s="1" t="s">
        <v>306</v>
      </c>
      <c r="M150" s="1">
        <v>5</v>
      </c>
      <c r="N150" s="1">
        <v>10</v>
      </c>
      <c r="O150" s="1">
        <v>59178.6</v>
      </c>
      <c r="P150" s="1">
        <f>Table1[[#This Row],[Rooms Booked]]/Table1[[#This Row],[Rooms Available]]*100</f>
        <v>4</v>
      </c>
      <c r="Q150" s="1">
        <f>Table1[[#This Row],[Revenue]]/Table1[[#This Row],[Rooms Booked]]</f>
        <v>32877</v>
      </c>
    </row>
    <row r="151" spans="1:17" x14ac:dyDescent="0.25">
      <c r="A151" s="1" t="s">
        <v>17</v>
      </c>
      <c r="B151" s="1" t="s">
        <v>21</v>
      </c>
      <c r="C151" s="1" t="s">
        <v>114</v>
      </c>
      <c r="D151" s="1">
        <v>0</v>
      </c>
      <c r="E151" s="1" t="s">
        <v>293</v>
      </c>
      <c r="F151" s="1" t="s">
        <v>296</v>
      </c>
      <c r="G151" s="1">
        <v>50</v>
      </c>
      <c r="H151" s="1">
        <v>2</v>
      </c>
      <c r="I151" s="1" t="s">
        <v>299</v>
      </c>
      <c r="J151" s="1">
        <v>30</v>
      </c>
      <c r="K151" s="1" t="s">
        <v>301</v>
      </c>
      <c r="L151" s="1" t="s">
        <v>304</v>
      </c>
      <c r="M151" s="1">
        <v>1</v>
      </c>
      <c r="N151" s="1">
        <v>10</v>
      </c>
      <c r="O151" s="1">
        <v>0</v>
      </c>
      <c r="P151" s="1">
        <f>Table1[[#This Row],[Rooms Booked]]/Table1[[#This Row],[Rooms Available]]*100</f>
        <v>4</v>
      </c>
      <c r="Q151" s="1">
        <f>Table1[[#This Row],[Revenue]]/Table1[[#This Row],[Rooms Booked]]</f>
        <v>0</v>
      </c>
    </row>
    <row r="152" spans="1:17" x14ac:dyDescent="0.25">
      <c r="A152" s="1" t="s">
        <v>19</v>
      </c>
      <c r="B152" s="1" t="s">
        <v>21</v>
      </c>
      <c r="C152" s="1" t="s">
        <v>146</v>
      </c>
      <c r="D152" s="1">
        <v>111564</v>
      </c>
      <c r="E152" s="1" t="s">
        <v>292</v>
      </c>
      <c r="F152" s="1" t="s">
        <v>295</v>
      </c>
      <c r="G152" s="1">
        <v>50</v>
      </c>
      <c r="H152" s="1">
        <v>3</v>
      </c>
      <c r="I152" s="1" t="s">
        <v>298</v>
      </c>
      <c r="J152" s="1">
        <v>23</v>
      </c>
      <c r="K152" s="1" t="s">
        <v>300</v>
      </c>
      <c r="L152" s="1" t="s">
        <v>302</v>
      </c>
      <c r="M152" s="1">
        <v>3</v>
      </c>
      <c r="N152" s="1">
        <v>0</v>
      </c>
      <c r="O152" s="1">
        <v>111564</v>
      </c>
      <c r="P152" s="1">
        <f>Table1[[#This Row],[Rooms Booked]]/Table1[[#This Row],[Rooms Available]]*100</f>
        <v>6</v>
      </c>
      <c r="Q152" s="1">
        <f>Table1[[#This Row],[Revenue]]/Table1[[#This Row],[Rooms Booked]]</f>
        <v>37188</v>
      </c>
    </row>
    <row r="153" spans="1:17" x14ac:dyDescent="0.25">
      <c r="A153" s="1" t="s">
        <v>16</v>
      </c>
      <c r="B153" s="1" t="s">
        <v>22</v>
      </c>
      <c r="C153" s="1" t="s">
        <v>147</v>
      </c>
      <c r="D153" s="1">
        <v>40384</v>
      </c>
      <c r="E153" s="1" t="s">
        <v>291</v>
      </c>
      <c r="F153" s="1" t="s">
        <v>295</v>
      </c>
      <c r="G153" s="1">
        <v>50</v>
      </c>
      <c r="H153" s="1">
        <v>2</v>
      </c>
      <c r="I153" s="1" t="s">
        <v>298</v>
      </c>
      <c r="J153" s="1">
        <v>11</v>
      </c>
      <c r="K153" s="1" t="s">
        <v>300</v>
      </c>
      <c r="L153" s="1" t="s">
        <v>306</v>
      </c>
      <c r="M153" s="1">
        <v>2</v>
      </c>
      <c r="N153" s="1">
        <v>0</v>
      </c>
      <c r="O153" s="1">
        <v>40384</v>
      </c>
      <c r="P153" s="1">
        <f>Table1[[#This Row],[Rooms Booked]]/Table1[[#This Row],[Rooms Available]]*100</f>
        <v>4</v>
      </c>
      <c r="Q153" s="1">
        <f>Table1[[#This Row],[Revenue]]/Table1[[#This Row],[Rooms Booked]]</f>
        <v>20192</v>
      </c>
    </row>
    <row r="154" spans="1:17" x14ac:dyDescent="0.25">
      <c r="A154" s="1" t="s">
        <v>18</v>
      </c>
      <c r="B154" s="1" t="s">
        <v>23</v>
      </c>
      <c r="C154" s="1" t="s">
        <v>55</v>
      </c>
      <c r="D154" s="1">
        <v>59610</v>
      </c>
      <c r="E154" s="1" t="s">
        <v>294</v>
      </c>
      <c r="F154" s="1" t="s">
        <v>296</v>
      </c>
      <c r="G154" s="1">
        <v>50</v>
      </c>
      <c r="H154" s="1">
        <v>5</v>
      </c>
      <c r="I154" s="1" t="s">
        <v>298</v>
      </c>
      <c r="J154" s="1">
        <v>19</v>
      </c>
      <c r="K154" s="1" t="s">
        <v>301</v>
      </c>
      <c r="L154" s="1" t="s">
        <v>303</v>
      </c>
      <c r="M154" s="1">
        <v>2</v>
      </c>
      <c r="N154" s="1">
        <v>10</v>
      </c>
      <c r="O154" s="1">
        <v>53649</v>
      </c>
      <c r="P154" s="1">
        <f>Table1[[#This Row],[Rooms Booked]]/Table1[[#This Row],[Rooms Available]]*100</f>
        <v>10</v>
      </c>
      <c r="Q154" s="1">
        <f>Table1[[#This Row],[Revenue]]/Table1[[#This Row],[Rooms Booked]]</f>
        <v>11922</v>
      </c>
    </row>
    <row r="155" spans="1:17" x14ac:dyDescent="0.25">
      <c r="A155" s="1" t="s">
        <v>17</v>
      </c>
      <c r="B155" s="1" t="s">
        <v>21</v>
      </c>
      <c r="C155" s="1" t="s">
        <v>58</v>
      </c>
      <c r="D155" s="1">
        <v>24385</v>
      </c>
      <c r="E155" s="1" t="s">
        <v>294</v>
      </c>
      <c r="F155" s="1" t="s">
        <v>295</v>
      </c>
      <c r="G155" s="1">
        <v>50</v>
      </c>
      <c r="H155" s="1">
        <v>5</v>
      </c>
      <c r="I155" s="1" t="s">
        <v>298</v>
      </c>
      <c r="J155" s="1">
        <v>9</v>
      </c>
      <c r="K155" s="1" t="s">
        <v>301</v>
      </c>
      <c r="L155" s="1" t="s">
        <v>305</v>
      </c>
      <c r="M155" s="1">
        <v>4</v>
      </c>
      <c r="N155" s="1">
        <v>10</v>
      </c>
      <c r="O155" s="1">
        <v>21946.5</v>
      </c>
      <c r="P155" s="1">
        <f>Table1[[#This Row],[Rooms Booked]]/Table1[[#This Row],[Rooms Available]]*100</f>
        <v>10</v>
      </c>
      <c r="Q155" s="1">
        <f>Table1[[#This Row],[Revenue]]/Table1[[#This Row],[Rooms Booked]]</f>
        <v>4877</v>
      </c>
    </row>
    <row r="156" spans="1:17" x14ac:dyDescent="0.25">
      <c r="A156" s="1" t="s">
        <v>18</v>
      </c>
      <c r="B156" s="1" t="s">
        <v>22</v>
      </c>
      <c r="C156" s="1" t="s">
        <v>148</v>
      </c>
      <c r="D156" s="1">
        <v>126912</v>
      </c>
      <c r="E156" s="1" t="s">
        <v>294</v>
      </c>
      <c r="F156" s="1" t="s">
        <v>296</v>
      </c>
      <c r="G156" s="1">
        <v>50</v>
      </c>
      <c r="H156" s="1">
        <v>3</v>
      </c>
      <c r="I156" s="1" t="s">
        <v>298</v>
      </c>
      <c r="J156" s="1">
        <v>16</v>
      </c>
      <c r="K156" s="1" t="s">
        <v>300</v>
      </c>
      <c r="L156" s="1" t="s">
        <v>302</v>
      </c>
      <c r="M156" s="1">
        <v>1</v>
      </c>
      <c r="N156" s="1">
        <v>0</v>
      </c>
      <c r="O156" s="1">
        <v>126912</v>
      </c>
      <c r="P156" s="1">
        <f>Table1[[#This Row],[Rooms Booked]]/Table1[[#This Row],[Rooms Available]]*100</f>
        <v>6</v>
      </c>
      <c r="Q156" s="1">
        <f>Table1[[#This Row],[Revenue]]/Table1[[#This Row],[Rooms Booked]]</f>
        <v>42304</v>
      </c>
    </row>
    <row r="157" spans="1:17" x14ac:dyDescent="0.25">
      <c r="A157" s="1" t="s">
        <v>18</v>
      </c>
      <c r="B157" s="1" t="s">
        <v>23</v>
      </c>
      <c r="C157" s="1" t="s">
        <v>149</v>
      </c>
      <c r="D157" s="1">
        <v>26172</v>
      </c>
      <c r="E157" s="1" t="s">
        <v>291</v>
      </c>
      <c r="F157" s="1" t="s">
        <v>295</v>
      </c>
      <c r="G157" s="1">
        <v>50</v>
      </c>
      <c r="H157" s="1">
        <v>2</v>
      </c>
      <c r="I157" s="1" t="s">
        <v>298</v>
      </c>
      <c r="J157" s="1">
        <v>4</v>
      </c>
      <c r="K157" s="1" t="s">
        <v>300</v>
      </c>
      <c r="L157" s="1" t="s">
        <v>303</v>
      </c>
      <c r="M157" s="1">
        <v>2</v>
      </c>
      <c r="N157" s="1">
        <v>10</v>
      </c>
      <c r="O157" s="1">
        <v>23554.799999999999</v>
      </c>
      <c r="P157" s="1">
        <f>Table1[[#This Row],[Rooms Booked]]/Table1[[#This Row],[Rooms Available]]*100</f>
        <v>4</v>
      </c>
      <c r="Q157" s="1">
        <f>Table1[[#This Row],[Revenue]]/Table1[[#This Row],[Rooms Booked]]</f>
        <v>13086</v>
      </c>
    </row>
    <row r="158" spans="1:17" x14ac:dyDescent="0.25">
      <c r="A158" s="1" t="s">
        <v>19</v>
      </c>
      <c r="B158" s="1" t="s">
        <v>23</v>
      </c>
      <c r="C158" s="1" t="s">
        <v>150</v>
      </c>
      <c r="D158" s="1">
        <v>0</v>
      </c>
      <c r="E158" s="1" t="s">
        <v>292</v>
      </c>
      <c r="F158" s="1" t="s">
        <v>295</v>
      </c>
      <c r="G158" s="1">
        <v>50</v>
      </c>
      <c r="H158" s="1">
        <v>5</v>
      </c>
      <c r="I158" s="1" t="s">
        <v>299</v>
      </c>
      <c r="J158" s="1">
        <v>11</v>
      </c>
      <c r="K158" s="1" t="s">
        <v>301</v>
      </c>
      <c r="L158" s="1" t="s">
        <v>302</v>
      </c>
      <c r="M158" s="1">
        <v>2</v>
      </c>
      <c r="N158" s="1">
        <v>0</v>
      </c>
      <c r="O158" s="1">
        <v>0</v>
      </c>
      <c r="P158" s="1">
        <f>Table1[[#This Row],[Rooms Booked]]/Table1[[#This Row],[Rooms Available]]*100</f>
        <v>10</v>
      </c>
      <c r="Q158" s="1">
        <f>Table1[[#This Row],[Revenue]]/Table1[[#This Row],[Rooms Booked]]</f>
        <v>0</v>
      </c>
    </row>
    <row r="159" spans="1:17" x14ac:dyDescent="0.25">
      <c r="A159" s="1" t="s">
        <v>17</v>
      </c>
      <c r="B159" s="1" t="s">
        <v>23</v>
      </c>
      <c r="C159" s="1" t="s">
        <v>44</v>
      </c>
      <c r="D159" s="1">
        <v>136020</v>
      </c>
      <c r="E159" s="1" t="s">
        <v>294</v>
      </c>
      <c r="F159" s="1" t="s">
        <v>296</v>
      </c>
      <c r="G159" s="1">
        <v>50</v>
      </c>
      <c r="H159" s="1">
        <v>5</v>
      </c>
      <c r="I159" s="1" t="s">
        <v>298</v>
      </c>
      <c r="J159" s="1">
        <v>16</v>
      </c>
      <c r="K159" s="1" t="s">
        <v>300</v>
      </c>
      <c r="L159" s="1" t="s">
        <v>305</v>
      </c>
      <c r="M159" s="1">
        <v>4</v>
      </c>
      <c r="N159" s="1">
        <v>5</v>
      </c>
      <c r="O159" s="1">
        <v>129219</v>
      </c>
      <c r="P159" s="1">
        <f>Table1[[#This Row],[Rooms Booked]]/Table1[[#This Row],[Rooms Available]]*100</f>
        <v>10</v>
      </c>
      <c r="Q159" s="1">
        <f>Table1[[#This Row],[Revenue]]/Table1[[#This Row],[Rooms Booked]]</f>
        <v>27204</v>
      </c>
    </row>
    <row r="160" spans="1:17" x14ac:dyDescent="0.25">
      <c r="A160" s="1" t="s">
        <v>15</v>
      </c>
      <c r="B160" s="1" t="s">
        <v>23</v>
      </c>
      <c r="C160" s="1" t="s">
        <v>31</v>
      </c>
      <c r="D160" s="1">
        <v>80484</v>
      </c>
      <c r="E160" s="1" t="s">
        <v>291</v>
      </c>
      <c r="F160" s="1" t="s">
        <v>297</v>
      </c>
      <c r="G160" s="1">
        <v>50</v>
      </c>
      <c r="H160" s="1">
        <v>3</v>
      </c>
      <c r="I160" s="1" t="s">
        <v>298</v>
      </c>
      <c r="J160" s="1">
        <v>18</v>
      </c>
      <c r="K160" s="1" t="s">
        <v>300</v>
      </c>
      <c r="L160" s="1" t="s">
        <v>304</v>
      </c>
      <c r="M160" s="1">
        <v>4</v>
      </c>
      <c r="N160" s="1">
        <v>15</v>
      </c>
      <c r="O160" s="1">
        <v>68411.399999999994</v>
      </c>
      <c r="P160" s="1">
        <f>Table1[[#This Row],[Rooms Booked]]/Table1[[#This Row],[Rooms Available]]*100</f>
        <v>6</v>
      </c>
      <c r="Q160" s="1">
        <f>Table1[[#This Row],[Revenue]]/Table1[[#This Row],[Rooms Booked]]</f>
        <v>26828</v>
      </c>
    </row>
    <row r="161" spans="1:17" x14ac:dyDescent="0.25">
      <c r="A161" s="1" t="s">
        <v>19</v>
      </c>
      <c r="B161" s="1" t="s">
        <v>21</v>
      </c>
      <c r="C161" s="1" t="s">
        <v>151</v>
      </c>
      <c r="D161" s="1">
        <v>66276</v>
      </c>
      <c r="E161" s="1" t="s">
        <v>293</v>
      </c>
      <c r="F161" s="1" t="s">
        <v>295</v>
      </c>
      <c r="G161" s="1">
        <v>50</v>
      </c>
      <c r="H161" s="1">
        <v>3</v>
      </c>
      <c r="I161" s="1" t="s">
        <v>298</v>
      </c>
      <c r="J161" s="1">
        <v>18</v>
      </c>
      <c r="K161" s="1" t="s">
        <v>301</v>
      </c>
      <c r="L161" s="1" t="s">
        <v>304</v>
      </c>
      <c r="M161" s="1">
        <v>3</v>
      </c>
      <c r="N161" s="1">
        <v>10</v>
      </c>
      <c r="O161" s="1">
        <v>59648.4</v>
      </c>
      <c r="P161" s="1">
        <f>Table1[[#This Row],[Rooms Booked]]/Table1[[#This Row],[Rooms Available]]*100</f>
        <v>6</v>
      </c>
      <c r="Q161" s="1">
        <f>Table1[[#This Row],[Revenue]]/Table1[[#This Row],[Rooms Booked]]</f>
        <v>22092</v>
      </c>
    </row>
    <row r="162" spans="1:17" x14ac:dyDescent="0.25">
      <c r="A162" s="1" t="s">
        <v>19</v>
      </c>
      <c r="B162" s="1" t="s">
        <v>23</v>
      </c>
      <c r="C162" s="1" t="s">
        <v>152</v>
      </c>
      <c r="D162" s="1">
        <v>0</v>
      </c>
      <c r="E162" s="1" t="s">
        <v>292</v>
      </c>
      <c r="F162" s="1" t="s">
        <v>296</v>
      </c>
      <c r="G162" s="1">
        <v>50</v>
      </c>
      <c r="H162" s="1">
        <v>2</v>
      </c>
      <c r="I162" s="1" t="s">
        <v>299</v>
      </c>
      <c r="J162" s="1">
        <v>20</v>
      </c>
      <c r="K162" s="1" t="s">
        <v>301</v>
      </c>
      <c r="L162" s="1" t="s">
        <v>302</v>
      </c>
      <c r="M162" s="1">
        <v>1</v>
      </c>
      <c r="N162" s="1">
        <v>10</v>
      </c>
      <c r="O162" s="1">
        <v>0</v>
      </c>
      <c r="P162" s="1">
        <f>Table1[[#This Row],[Rooms Booked]]/Table1[[#This Row],[Rooms Available]]*100</f>
        <v>4</v>
      </c>
      <c r="Q162" s="1">
        <f>Table1[[#This Row],[Revenue]]/Table1[[#This Row],[Rooms Booked]]</f>
        <v>0</v>
      </c>
    </row>
    <row r="163" spans="1:17" x14ac:dyDescent="0.25">
      <c r="A163" s="1" t="s">
        <v>17</v>
      </c>
      <c r="B163" s="1" t="s">
        <v>23</v>
      </c>
      <c r="C163" s="1" t="s">
        <v>153</v>
      </c>
      <c r="D163" s="1">
        <v>16052</v>
      </c>
      <c r="E163" s="1" t="s">
        <v>293</v>
      </c>
      <c r="F163" s="1" t="s">
        <v>297</v>
      </c>
      <c r="G163" s="1">
        <v>50</v>
      </c>
      <c r="H163" s="1">
        <v>2</v>
      </c>
      <c r="I163" s="1" t="s">
        <v>298</v>
      </c>
      <c r="J163" s="1">
        <v>8</v>
      </c>
      <c r="K163" s="1" t="s">
        <v>300</v>
      </c>
      <c r="L163" s="1" t="s">
        <v>303</v>
      </c>
      <c r="M163" s="1">
        <v>5</v>
      </c>
      <c r="N163" s="1">
        <v>10</v>
      </c>
      <c r="O163" s="1">
        <v>14446.8</v>
      </c>
      <c r="P163" s="1">
        <f>Table1[[#This Row],[Rooms Booked]]/Table1[[#This Row],[Rooms Available]]*100</f>
        <v>4</v>
      </c>
      <c r="Q163" s="1">
        <f>Table1[[#This Row],[Revenue]]/Table1[[#This Row],[Rooms Booked]]</f>
        <v>8026</v>
      </c>
    </row>
    <row r="164" spans="1:17" x14ac:dyDescent="0.25">
      <c r="A164" s="1" t="s">
        <v>18</v>
      </c>
      <c r="B164" s="1" t="s">
        <v>23</v>
      </c>
      <c r="C164" s="1" t="s">
        <v>154</v>
      </c>
      <c r="D164" s="1">
        <v>23116</v>
      </c>
      <c r="E164" s="1" t="s">
        <v>291</v>
      </c>
      <c r="F164" s="1" t="s">
        <v>295</v>
      </c>
      <c r="G164" s="1">
        <v>50</v>
      </c>
      <c r="H164" s="1">
        <v>1</v>
      </c>
      <c r="I164" s="1" t="s">
        <v>298</v>
      </c>
      <c r="J164" s="1">
        <v>16</v>
      </c>
      <c r="K164" s="1" t="s">
        <v>301</v>
      </c>
      <c r="L164" s="1" t="s">
        <v>306</v>
      </c>
      <c r="M164" s="1">
        <v>1</v>
      </c>
      <c r="N164" s="1">
        <v>5</v>
      </c>
      <c r="O164" s="1">
        <v>21960.2</v>
      </c>
      <c r="P164" s="1">
        <f>Table1[[#This Row],[Rooms Booked]]/Table1[[#This Row],[Rooms Available]]*100</f>
        <v>2</v>
      </c>
      <c r="Q164" s="1">
        <f>Table1[[#This Row],[Revenue]]/Table1[[#This Row],[Rooms Booked]]</f>
        <v>23116</v>
      </c>
    </row>
    <row r="165" spans="1:17" x14ac:dyDescent="0.25">
      <c r="A165" s="1" t="s">
        <v>18</v>
      </c>
      <c r="B165" s="1" t="s">
        <v>22</v>
      </c>
      <c r="C165" s="1" t="s">
        <v>155</v>
      </c>
      <c r="D165" s="1">
        <v>19902</v>
      </c>
      <c r="E165" s="1" t="s">
        <v>292</v>
      </c>
      <c r="F165" s="1" t="s">
        <v>295</v>
      </c>
      <c r="G165" s="1">
        <v>50</v>
      </c>
      <c r="H165" s="1">
        <v>2</v>
      </c>
      <c r="I165" s="1" t="s">
        <v>298</v>
      </c>
      <c r="J165" s="1">
        <v>16</v>
      </c>
      <c r="K165" s="1" t="s">
        <v>300</v>
      </c>
      <c r="L165" s="1" t="s">
        <v>304</v>
      </c>
      <c r="M165" s="1">
        <v>4</v>
      </c>
      <c r="N165" s="1">
        <v>15</v>
      </c>
      <c r="O165" s="1">
        <v>16916.7</v>
      </c>
      <c r="P165" s="1">
        <f>Table1[[#This Row],[Rooms Booked]]/Table1[[#This Row],[Rooms Available]]*100</f>
        <v>4</v>
      </c>
      <c r="Q165" s="1">
        <f>Table1[[#This Row],[Revenue]]/Table1[[#This Row],[Rooms Booked]]</f>
        <v>9951</v>
      </c>
    </row>
    <row r="166" spans="1:17" x14ac:dyDescent="0.25">
      <c r="A166" s="1" t="s">
        <v>16</v>
      </c>
      <c r="B166" s="1" t="s">
        <v>22</v>
      </c>
      <c r="C166" s="1" t="s">
        <v>156</v>
      </c>
      <c r="D166" s="1">
        <v>61170</v>
      </c>
      <c r="E166" s="1" t="s">
        <v>293</v>
      </c>
      <c r="F166" s="1" t="s">
        <v>295</v>
      </c>
      <c r="G166" s="1">
        <v>50</v>
      </c>
      <c r="H166" s="1">
        <v>5</v>
      </c>
      <c r="I166" s="1" t="s">
        <v>298</v>
      </c>
      <c r="J166" s="1">
        <v>6</v>
      </c>
      <c r="K166" s="1" t="s">
        <v>300</v>
      </c>
      <c r="L166" s="1" t="s">
        <v>304</v>
      </c>
      <c r="M166" s="1">
        <v>5</v>
      </c>
      <c r="N166" s="1">
        <v>15</v>
      </c>
      <c r="O166" s="1">
        <v>51994.5</v>
      </c>
      <c r="P166" s="1">
        <f>Table1[[#This Row],[Rooms Booked]]/Table1[[#This Row],[Rooms Available]]*100</f>
        <v>10</v>
      </c>
      <c r="Q166" s="1">
        <f>Table1[[#This Row],[Revenue]]/Table1[[#This Row],[Rooms Booked]]</f>
        <v>12234</v>
      </c>
    </row>
    <row r="167" spans="1:17" x14ac:dyDescent="0.25">
      <c r="A167" s="1" t="s">
        <v>16</v>
      </c>
      <c r="B167" s="1" t="s">
        <v>22</v>
      </c>
      <c r="C167" s="1" t="s">
        <v>157</v>
      </c>
      <c r="D167" s="1">
        <v>42981</v>
      </c>
      <c r="E167" s="1" t="s">
        <v>292</v>
      </c>
      <c r="F167" s="1" t="s">
        <v>295</v>
      </c>
      <c r="G167" s="1">
        <v>50</v>
      </c>
      <c r="H167" s="1">
        <v>1</v>
      </c>
      <c r="I167" s="1" t="s">
        <v>298</v>
      </c>
      <c r="J167" s="1">
        <v>25</v>
      </c>
      <c r="K167" s="1" t="s">
        <v>300</v>
      </c>
      <c r="L167" s="1" t="s">
        <v>306</v>
      </c>
      <c r="M167" s="1">
        <v>1</v>
      </c>
      <c r="N167" s="1">
        <v>0</v>
      </c>
      <c r="O167" s="1">
        <v>42981</v>
      </c>
      <c r="P167" s="1">
        <f>Table1[[#This Row],[Rooms Booked]]/Table1[[#This Row],[Rooms Available]]*100</f>
        <v>2</v>
      </c>
      <c r="Q167" s="1">
        <f>Table1[[#This Row],[Revenue]]/Table1[[#This Row],[Rooms Booked]]</f>
        <v>42981</v>
      </c>
    </row>
    <row r="168" spans="1:17" x14ac:dyDescent="0.25">
      <c r="A168" s="1" t="s">
        <v>19</v>
      </c>
      <c r="B168" s="1" t="s">
        <v>23</v>
      </c>
      <c r="C168" s="1" t="s">
        <v>158</v>
      </c>
      <c r="D168" s="1">
        <v>87651</v>
      </c>
      <c r="E168" s="1" t="s">
        <v>293</v>
      </c>
      <c r="F168" s="1" t="s">
        <v>295</v>
      </c>
      <c r="G168" s="1">
        <v>50</v>
      </c>
      <c r="H168" s="1">
        <v>3</v>
      </c>
      <c r="I168" s="1" t="s">
        <v>298</v>
      </c>
      <c r="J168" s="1">
        <v>21</v>
      </c>
      <c r="K168" s="1" t="s">
        <v>301</v>
      </c>
      <c r="L168" s="1" t="s">
        <v>302</v>
      </c>
      <c r="M168" s="1">
        <v>1</v>
      </c>
      <c r="N168" s="1">
        <v>15</v>
      </c>
      <c r="O168" s="1">
        <v>74503.350000000006</v>
      </c>
      <c r="P168" s="1">
        <f>Table1[[#This Row],[Rooms Booked]]/Table1[[#This Row],[Rooms Available]]*100</f>
        <v>6</v>
      </c>
      <c r="Q168" s="1">
        <f>Table1[[#This Row],[Revenue]]/Table1[[#This Row],[Rooms Booked]]</f>
        <v>29217</v>
      </c>
    </row>
    <row r="169" spans="1:17" x14ac:dyDescent="0.25">
      <c r="A169" s="1" t="s">
        <v>16</v>
      </c>
      <c r="B169" s="1" t="s">
        <v>22</v>
      </c>
      <c r="C169" s="1" t="s">
        <v>159</v>
      </c>
      <c r="D169" s="1">
        <v>61992</v>
      </c>
      <c r="E169" s="1" t="s">
        <v>293</v>
      </c>
      <c r="F169" s="1" t="s">
        <v>295</v>
      </c>
      <c r="G169" s="1">
        <v>50</v>
      </c>
      <c r="H169" s="1">
        <v>2</v>
      </c>
      <c r="I169" s="1" t="s">
        <v>298</v>
      </c>
      <c r="J169" s="1">
        <v>12</v>
      </c>
      <c r="K169" s="1" t="s">
        <v>301</v>
      </c>
      <c r="L169" s="1" t="s">
        <v>304</v>
      </c>
      <c r="M169" s="1">
        <v>2</v>
      </c>
      <c r="N169" s="1">
        <v>15</v>
      </c>
      <c r="O169" s="1">
        <v>52693.2</v>
      </c>
      <c r="P169" s="1">
        <f>Table1[[#This Row],[Rooms Booked]]/Table1[[#This Row],[Rooms Available]]*100</f>
        <v>4</v>
      </c>
      <c r="Q169" s="1">
        <f>Table1[[#This Row],[Revenue]]/Table1[[#This Row],[Rooms Booked]]</f>
        <v>30996</v>
      </c>
    </row>
    <row r="170" spans="1:17" x14ac:dyDescent="0.25">
      <c r="A170" s="1" t="s">
        <v>15</v>
      </c>
      <c r="B170" s="1" t="s">
        <v>21</v>
      </c>
      <c r="C170" s="1" t="s">
        <v>160</v>
      </c>
      <c r="D170" s="1">
        <v>33376</v>
      </c>
      <c r="E170" s="1" t="s">
        <v>292</v>
      </c>
      <c r="F170" s="1" t="s">
        <v>295</v>
      </c>
      <c r="G170" s="1">
        <v>50</v>
      </c>
      <c r="H170" s="1">
        <v>4</v>
      </c>
      <c r="I170" s="1" t="s">
        <v>298</v>
      </c>
      <c r="J170" s="1">
        <v>24</v>
      </c>
      <c r="K170" s="1" t="s">
        <v>301</v>
      </c>
      <c r="L170" s="1" t="s">
        <v>304</v>
      </c>
      <c r="M170" s="1">
        <v>2</v>
      </c>
      <c r="N170" s="1">
        <v>15</v>
      </c>
      <c r="O170" s="1">
        <v>28369.599999999999</v>
      </c>
      <c r="P170" s="1">
        <f>Table1[[#This Row],[Rooms Booked]]/Table1[[#This Row],[Rooms Available]]*100</f>
        <v>8</v>
      </c>
      <c r="Q170" s="1">
        <f>Table1[[#This Row],[Revenue]]/Table1[[#This Row],[Rooms Booked]]</f>
        <v>8344</v>
      </c>
    </row>
    <row r="171" spans="1:17" x14ac:dyDescent="0.25">
      <c r="A171" s="1" t="s">
        <v>19</v>
      </c>
      <c r="B171" s="1" t="s">
        <v>21</v>
      </c>
      <c r="C171" s="1" t="s">
        <v>134</v>
      </c>
      <c r="D171" s="1">
        <v>30258</v>
      </c>
      <c r="E171" s="1" t="s">
        <v>292</v>
      </c>
      <c r="F171" s="1" t="s">
        <v>295</v>
      </c>
      <c r="G171" s="1">
        <v>50</v>
      </c>
      <c r="H171" s="1">
        <v>1</v>
      </c>
      <c r="I171" s="1" t="s">
        <v>298</v>
      </c>
      <c r="J171" s="1">
        <v>3</v>
      </c>
      <c r="K171" s="1" t="s">
        <v>301</v>
      </c>
      <c r="L171" s="1" t="s">
        <v>304</v>
      </c>
      <c r="M171" s="1">
        <v>3</v>
      </c>
      <c r="N171" s="1">
        <v>15</v>
      </c>
      <c r="O171" s="1">
        <v>25719.3</v>
      </c>
      <c r="P171" s="1">
        <f>Table1[[#This Row],[Rooms Booked]]/Table1[[#This Row],[Rooms Available]]*100</f>
        <v>2</v>
      </c>
      <c r="Q171" s="1">
        <f>Table1[[#This Row],[Revenue]]/Table1[[#This Row],[Rooms Booked]]</f>
        <v>30258</v>
      </c>
    </row>
    <row r="172" spans="1:17" x14ac:dyDescent="0.25">
      <c r="A172" s="1" t="s">
        <v>17</v>
      </c>
      <c r="B172" s="1" t="s">
        <v>23</v>
      </c>
      <c r="C172" s="1" t="s">
        <v>161</v>
      </c>
      <c r="D172" s="1">
        <v>40805</v>
      </c>
      <c r="E172" s="1" t="s">
        <v>292</v>
      </c>
      <c r="F172" s="1" t="s">
        <v>297</v>
      </c>
      <c r="G172" s="1">
        <v>50</v>
      </c>
      <c r="H172" s="1">
        <v>5</v>
      </c>
      <c r="I172" s="1" t="s">
        <v>298</v>
      </c>
      <c r="J172" s="1">
        <v>5</v>
      </c>
      <c r="K172" s="1" t="s">
        <v>300</v>
      </c>
      <c r="L172" s="1" t="s">
        <v>305</v>
      </c>
      <c r="M172" s="1">
        <v>5</v>
      </c>
      <c r="N172" s="1">
        <v>0</v>
      </c>
      <c r="O172" s="1">
        <v>40805</v>
      </c>
      <c r="P172" s="1">
        <f>Table1[[#This Row],[Rooms Booked]]/Table1[[#This Row],[Rooms Available]]*100</f>
        <v>10</v>
      </c>
      <c r="Q172" s="1">
        <f>Table1[[#This Row],[Revenue]]/Table1[[#This Row],[Rooms Booked]]</f>
        <v>8161</v>
      </c>
    </row>
    <row r="173" spans="1:17" x14ac:dyDescent="0.25">
      <c r="A173" s="1" t="s">
        <v>18</v>
      </c>
      <c r="B173" s="1" t="s">
        <v>21</v>
      </c>
      <c r="C173" s="1" t="s">
        <v>162</v>
      </c>
      <c r="D173" s="1">
        <v>23904</v>
      </c>
      <c r="E173" s="1" t="s">
        <v>293</v>
      </c>
      <c r="F173" s="1" t="s">
        <v>295</v>
      </c>
      <c r="G173" s="1">
        <v>50</v>
      </c>
      <c r="H173" s="1">
        <v>2</v>
      </c>
      <c r="I173" s="1" t="s">
        <v>298</v>
      </c>
      <c r="J173" s="1">
        <v>12</v>
      </c>
      <c r="K173" s="1" t="s">
        <v>300</v>
      </c>
      <c r="L173" s="1" t="s">
        <v>304</v>
      </c>
      <c r="M173" s="1">
        <v>3</v>
      </c>
      <c r="N173" s="1">
        <v>5</v>
      </c>
      <c r="O173" s="1">
        <v>22708.799999999999</v>
      </c>
      <c r="P173" s="1">
        <f>Table1[[#This Row],[Rooms Booked]]/Table1[[#This Row],[Rooms Available]]*100</f>
        <v>4</v>
      </c>
      <c r="Q173" s="1">
        <f>Table1[[#This Row],[Revenue]]/Table1[[#This Row],[Rooms Booked]]</f>
        <v>11952</v>
      </c>
    </row>
    <row r="174" spans="1:17" x14ac:dyDescent="0.25">
      <c r="A174" s="1" t="s">
        <v>18</v>
      </c>
      <c r="B174" s="1" t="s">
        <v>22</v>
      </c>
      <c r="C174" s="1" t="s">
        <v>59</v>
      </c>
      <c r="D174" s="1">
        <v>14540</v>
      </c>
      <c r="E174" s="1" t="s">
        <v>293</v>
      </c>
      <c r="F174" s="1" t="s">
        <v>296</v>
      </c>
      <c r="G174" s="1">
        <v>50</v>
      </c>
      <c r="H174" s="1">
        <v>2</v>
      </c>
      <c r="I174" s="1" t="s">
        <v>298</v>
      </c>
      <c r="J174" s="1">
        <v>9</v>
      </c>
      <c r="K174" s="1" t="s">
        <v>301</v>
      </c>
      <c r="L174" s="1" t="s">
        <v>306</v>
      </c>
      <c r="M174" s="1">
        <v>4</v>
      </c>
      <c r="N174" s="1">
        <v>0</v>
      </c>
      <c r="O174" s="1">
        <v>14540</v>
      </c>
      <c r="P174" s="1">
        <f>Table1[[#This Row],[Rooms Booked]]/Table1[[#This Row],[Rooms Available]]*100</f>
        <v>4</v>
      </c>
      <c r="Q174" s="1">
        <f>Table1[[#This Row],[Revenue]]/Table1[[#This Row],[Rooms Booked]]</f>
        <v>7270</v>
      </c>
    </row>
    <row r="175" spans="1:17" x14ac:dyDescent="0.25">
      <c r="A175" s="1" t="s">
        <v>16</v>
      </c>
      <c r="B175" s="1" t="s">
        <v>21</v>
      </c>
      <c r="C175" s="1" t="s">
        <v>82</v>
      </c>
      <c r="D175" s="1">
        <v>4134</v>
      </c>
      <c r="E175" s="1" t="s">
        <v>291</v>
      </c>
      <c r="F175" s="1" t="s">
        <v>295</v>
      </c>
      <c r="G175" s="1">
        <v>50</v>
      </c>
      <c r="H175" s="1">
        <v>1</v>
      </c>
      <c r="I175" s="1" t="s">
        <v>298</v>
      </c>
      <c r="J175" s="1">
        <v>3</v>
      </c>
      <c r="K175" s="1" t="s">
        <v>301</v>
      </c>
      <c r="L175" s="1" t="s">
        <v>305</v>
      </c>
      <c r="M175" s="1">
        <v>2</v>
      </c>
      <c r="N175" s="1">
        <v>15</v>
      </c>
      <c r="O175" s="1">
        <v>3513.9</v>
      </c>
      <c r="P175" s="1">
        <f>Table1[[#This Row],[Rooms Booked]]/Table1[[#This Row],[Rooms Available]]*100</f>
        <v>2</v>
      </c>
      <c r="Q175" s="1">
        <f>Table1[[#This Row],[Revenue]]/Table1[[#This Row],[Rooms Booked]]</f>
        <v>4134</v>
      </c>
    </row>
    <row r="176" spans="1:17" x14ac:dyDescent="0.25">
      <c r="A176" s="1" t="s">
        <v>16</v>
      </c>
      <c r="B176" s="1" t="s">
        <v>22</v>
      </c>
      <c r="C176" s="1" t="s">
        <v>30</v>
      </c>
      <c r="D176" s="1">
        <v>30288</v>
      </c>
      <c r="E176" s="1" t="s">
        <v>293</v>
      </c>
      <c r="F176" s="1" t="s">
        <v>296</v>
      </c>
      <c r="G176" s="1">
        <v>50</v>
      </c>
      <c r="H176" s="1">
        <v>2</v>
      </c>
      <c r="I176" s="1" t="s">
        <v>298</v>
      </c>
      <c r="J176" s="1">
        <v>10</v>
      </c>
      <c r="K176" s="1" t="s">
        <v>300</v>
      </c>
      <c r="L176" s="1" t="s">
        <v>304</v>
      </c>
      <c r="M176" s="1">
        <v>4</v>
      </c>
      <c r="N176" s="1">
        <v>5</v>
      </c>
      <c r="O176" s="1">
        <v>28773.599999999999</v>
      </c>
      <c r="P176" s="1">
        <f>Table1[[#This Row],[Rooms Booked]]/Table1[[#This Row],[Rooms Available]]*100</f>
        <v>4</v>
      </c>
      <c r="Q176" s="1">
        <f>Table1[[#This Row],[Revenue]]/Table1[[#This Row],[Rooms Booked]]</f>
        <v>15144</v>
      </c>
    </row>
    <row r="177" spans="1:17" x14ac:dyDescent="0.25">
      <c r="A177" s="1" t="s">
        <v>18</v>
      </c>
      <c r="B177" s="1" t="s">
        <v>23</v>
      </c>
      <c r="C177" s="1" t="s">
        <v>125</v>
      </c>
      <c r="D177" s="1">
        <v>31602</v>
      </c>
      <c r="E177" s="1" t="s">
        <v>292</v>
      </c>
      <c r="F177" s="1" t="s">
        <v>297</v>
      </c>
      <c r="G177" s="1">
        <v>50</v>
      </c>
      <c r="H177" s="1">
        <v>2</v>
      </c>
      <c r="I177" s="1" t="s">
        <v>298</v>
      </c>
      <c r="J177" s="1">
        <v>30</v>
      </c>
      <c r="K177" s="1" t="s">
        <v>300</v>
      </c>
      <c r="L177" s="1" t="s">
        <v>305</v>
      </c>
      <c r="M177" s="1">
        <v>2</v>
      </c>
      <c r="N177" s="1">
        <v>10</v>
      </c>
      <c r="O177" s="1">
        <v>28441.8</v>
      </c>
      <c r="P177" s="1">
        <f>Table1[[#This Row],[Rooms Booked]]/Table1[[#This Row],[Rooms Available]]*100</f>
        <v>4</v>
      </c>
      <c r="Q177" s="1">
        <f>Table1[[#This Row],[Revenue]]/Table1[[#This Row],[Rooms Booked]]</f>
        <v>15801</v>
      </c>
    </row>
    <row r="178" spans="1:17" x14ac:dyDescent="0.25">
      <c r="A178" s="1" t="s">
        <v>16</v>
      </c>
      <c r="B178" s="1" t="s">
        <v>21</v>
      </c>
      <c r="C178" s="1" t="s">
        <v>163</v>
      </c>
      <c r="D178" s="1">
        <v>79260</v>
      </c>
      <c r="E178" s="1" t="s">
        <v>291</v>
      </c>
      <c r="F178" s="1" t="s">
        <v>296</v>
      </c>
      <c r="G178" s="1">
        <v>50</v>
      </c>
      <c r="H178" s="1">
        <v>5</v>
      </c>
      <c r="I178" s="1" t="s">
        <v>298</v>
      </c>
      <c r="J178" s="1">
        <v>5</v>
      </c>
      <c r="K178" s="1" t="s">
        <v>300</v>
      </c>
      <c r="L178" s="1" t="s">
        <v>303</v>
      </c>
      <c r="M178" s="1">
        <v>3</v>
      </c>
      <c r="N178" s="1">
        <v>15</v>
      </c>
      <c r="O178" s="1">
        <v>67371</v>
      </c>
      <c r="P178" s="1">
        <f>Table1[[#This Row],[Rooms Booked]]/Table1[[#This Row],[Rooms Available]]*100</f>
        <v>10</v>
      </c>
      <c r="Q178" s="1">
        <f>Table1[[#This Row],[Revenue]]/Table1[[#This Row],[Rooms Booked]]</f>
        <v>15852</v>
      </c>
    </row>
    <row r="179" spans="1:17" x14ac:dyDescent="0.25">
      <c r="A179" s="1" t="s">
        <v>16</v>
      </c>
      <c r="B179" s="1" t="s">
        <v>23</v>
      </c>
      <c r="C179" s="1" t="s">
        <v>164</v>
      </c>
      <c r="D179" s="1">
        <v>42558</v>
      </c>
      <c r="E179" s="1" t="s">
        <v>293</v>
      </c>
      <c r="F179" s="1" t="s">
        <v>297</v>
      </c>
      <c r="G179" s="1">
        <v>50</v>
      </c>
      <c r="H179" s="1">
        <v>1</v>
      </c>
      <c r="I179" s="1" t="s">
        <v>298</v>
      </c>
      <c r="J179" s="1">
        <v>11</v>
      </c>
      <c r="K179" s="1" t="s">
        <v>301</v>
      </c>
      <c r="L179" s="1" t="s">
        <v>303</v>
      </c>
      <c r="M179" s="1">
        <v>1</v>
      </c>
      <c r="N179" s="1">
        <v>15</v>
      </c>
      <c r="O179" s="1">
        <v>36174.300000000003</v>
      </c>
      <c r="P179" s="1">
        <f>Table1[[#This Row],[Rooms Booked]]/Table1[[#This Row],[Rooms Available]]*100</f>
        <v>2</v>
      </c>
      <c r="Q179" s="1">
        <f>Table1[[#This Row],[Revenue]]/Table1[[#This Row],[Rooms Booked]]</f>
        <v>42558</v>
      </c>
    </row>
    <row r="180" spans="1:17" x14ac:dyDescent="0.25">
      <c r="A180" s="1" t="s">
        <v>15</v>
      </c>
      <c r="B180" s="1" t="s">
        <v>21</v>
      </c>
      <c r="C180" s="1" t="s">
        <v>165</v>
      </c>
      <c r="D180" s="1">
        <v>0</v>
      </c>
      <c r="E180" s="1" t="s">
        <v>294</v>
      </c>
      <c r="F180" s="1" t="s">
        <v>297</v>
      </c>
      <c r="G180" s="1">
        <v>50</v>
      </c>
      <c r="H180" s="1">
        <v>1</v>
      </c>
      <c r="I180" s="1" t="s">
        <v>299</v>
      </c>
      <c r="J180" s="1">
        <v>16</v>
      </c>
      <c r="K180" s="1" t="s">
        <v>301</v>
      </c>
      <c r="L180" s="1" t="s">
        <v>302</v>
      </c>
      <c r="M180" s="1">
        <v>5</v>
      </c>
      <c r="N180" s="1">
        <v>5</v>
      </c>
      <c r="O180" s="1">
        <v>0</v>
      </c>
      <c r="P180" s="1">
        <f>Table1[[#This Row],[Rooms Booked]]/Table1[[#This Row],[Rooms Available]]*100</f>
        <v>2</v>
      </c>
      <c r="Q180" s="1">
        <f>Table1[[#This Row],[Revenue]]/Table1[[#This Row],[Rooms Booked]]</f>
        <v>0</v>
      </c>
    </row>
    <row r="181" spans="1:17" x14ac:dyDescent="0.25">
      <c r="A181" s="1" t="s">
        <v>19</v>
      </c>
      <c r="B181" s="1" t="s">
        <v>22</v>
      </c>
      <c r="C181" s="1" t="s">
        <v>166</v>
      </c>
      <c r="D181" s="1">
        <v>156080</v>
      </c>
      <c r="E181" s="1" t="s">
        <v>293</v>
      </c>
      <c r="F181" s="1" t="s">
        <v>295</v>
      </c>
      <c r="G181" s="1">
        <v>50</v>
      </c>
      <c r="H181" s="1">
        <v>5</v>
      </c>
      <c r="I181" s="1" t="s">
        <v>298</v>
      </c>
      <c r="J181" s="1">
        <v>22</v>
      </c>
      <c r="K181" s="1" t="s">
        <v>301</v>
      </c>
      <c r="L181" s="1" t="s">
        <v>303</v>
      </c>
      <c r="M181" s="1">
        <v>5</v>
      </c>
      <c r="N181" s="1">
        <v>0</v>
      </c>
      <c r="O181" s="1">
        <v>156080</v>
      </c>
      <c r="P181" s="1">
        <f>Table1[[#This Row],[Rooms Booked]]/Table1[[#This Row],[Rooms Available]]*100</f>
        <v>10</v>
      </c>
      <c r="Q181" s="1">
        <f>Table1[[#This Row],[Revenue]]/Table1[[#This Row],[Rooms Booked]]</f>
        <v>31216</v>
      </c>
    </row>
    <row r="182" spans="1:17" x14ac:dyDescent="0.25">
      <c r="A182" s="1" t="s">
        <v>15</v>
      </c>
      <c r="B182" s="1" t="s">
        <v>23</v>
      </c>
      <c r="C182" s="1" t="s">
        <v>167</v>
      </c>
      <c r="D182" s="1">
        <v>173340</v>
      </c>
      <c r="E182" s="1" t="s">
        <v>291</v>
      </c>
      <c r="F182" s="1" t="s">
        <v>295</v>
      </c>
      <c r="G182" s="1">
        <v>50</v>
      </c>
      <c r="H182" s="1">
        <v>4</v>
      </c>
      <c r="I182" s="1" t="s">
        <v>298</v>
      </c>
      <c r="J182" s="1">
        <v>26</v>
      </c>
      <c r="K182" s="1" t="s">
        <v>300</v>
      </c>
      <c r="L182" s="1" t="s">
        <v>303</v>
      </c>
      <c r="M182" s="1">
        <v>3</v>
      </c>
      <c r="N182" s="1">
        <v>0</v>
      </c>
      <c r="O182" s="1">
        <v>173340</v>
      </c>
      <c r="P182" s="1">
        <f>Table1[[#This Row],[Rooms Booked]]/Table1[[#This Row],[Rooms Available]]*100</f>
        <v>8</v>
      </c>
      <c r="Q182" s="1">
        <f>Table1[[#This Row],[Revenue]]/Table1[[#This Row],[Rooms Booked]]</f>
        <v>43335</v>
      </c>
    </row>
    <row r="183" spans="1:17" x14ac:dyDescent="0.25">
      <c r="A183" s="1" t="s">
        <v>16</v>
      </c>
      <c r="B183" s="1" t="s">
        <v>23</v>
      </c>
      <c r="C183" s="1" t="s">
        <v>66</v>
      </c>
      <c r="D183" s="1">
        <v>110912</v>
      </c>
      <c r="E183" s="1" t="s">
        <v>292</v>
      </c>
      <c r="F183" s="1" t="s">
        <v>295</v>
      </c>
      <c r="G183" s="1">
        <v>50</v>
      </c>
      <c r="H183" s="1">
        <v>4</v>
      </c>
      <c r="I183" s="1" t="s">
        <v>298</v>
      </c>
      <c r="J183" s="1">
        <v>21</v>
      </c>
      <c r="K183" s="1" t="s">
        <v>300</v>
      </c>
      <c r="L183" s="1" t="s">
        <v>303</v>
      </c>
      <c r="M183" s="1">
        <v>3</v>
      </c>
      <c r="N183" s="1">
        <v>10</v>
      </c>
      <c r="O183" s="1">
        <v>99820.800000000003</v>
      </c>
      <c r="P183" s="1">
        <f>Table1[[#This Row],[Rooms Booked]]/Table1[[#This Row],[Rooms Available]]*100</f>
        <v>8</v>
      </c>
      <c r="Q183" s="1">
        <f>Table1[[#This Row],[Revenue]]/Table1[[#This Row],[Rooms Booked]]</f>
        <v>27728</v>
      </c>
    </row>
    <row r="184" spans="1:17" x14ac:dyDescent="0.25">
      <c r="A184" s="1" t="s">
        <v>19</v>
      </c>
      <c r="B184" s="1" t="s">
        <v>23</v>
      </c>
      <c r="C184" s="1" t="s">
        <v>113</v>
      </c>
      <c r="D184" s="1">
        <v>23396</v>
      </c>
      <c r="E184" s="1" t="s">
        <v>291</v>
      </c>
      <c r="F184" s="1" t="s">
        <v>296</v>
      </c>
      <c r="G184" s="1">
        <v>50</v>
      </c>
      <c r="H184" s="1">
        <v>2</v>
      </c>
      <c r="I184" s="1" t="s">
        <v>298</v>
      </c>
      <c r="J184" s="1">
        <v>3</v>
      </c>
      <c r="K184" s="1" t="s">
        <v>301</v>
      </c>
      <c r="L184" s="1" t="s">
        <v>305</v>
      </c>
      <c r="M184" s="1">
        <v>3</v>
      </c>
      <c r="N184" s="1">
        <v>0</v>
      </c>
      <c r="O184" s="1">
        <v>23396</v>
      </c>
      <c r="P184" s="1">
        <f>Table1[[#This Row],[Rooms Booked]]/Table1[[#This Row],[Rooms Available]]*100</f>
        <v>4</v>
      </c>
      <c r="Q184" s="1">
        <f>Table1[[#This Row],[Revenue]]/Table1[[#This Row],[Rooms Booked]]</f>
        <v>11698</v>
      </c>
    </row>
    <row r="185" spans="1:17" x14ac:dyDescent="0.25">
      <c r="A185" s="1" t="s">
        <v>18</v>
      </c>
      <c r="B185" s="1" t="s">
        <v>22</v>
      </c>
      <c r="C185" s="1" t="s">
        <v>168</v>
      </c>
      <c r="D185" s="1">
        <v>42636</v>
      </c>
      <c r="E185" s="1" t="s">
        <v>292</v>
      </c>
      <c r="F185" s="1" t="s">
        <v>295</v>
      </c>
      <c r="G185" s="1">
        <v>50</v>
      </c>
      <c r="H185" s="1">
        <v>2</v>
      </c>
      <c r="I185" s="1" t="s">
        <v>298</v>
      </c>
      <c r="J185" s="1">
        <v>8</v>
      </c>
      <c r="K185" s="1" t="s">
        <v>300</v>
      </c>
      <c r="L185" s="1" t="s">
        <v>302</v>
      </c>
      <c r="M185" s="1">
        <v>5</v>
      </c>
      <c r="N185" s="1">
        <v>5</v>
      </c>
      <c r="O185" s="1">
        <v>40504.199999999997</v>
      </c>
      <c r="P185" s="1">
        <f>Table1[[#This Row],[Rooms Booked]]/Table1[[#This Row],[Rooms Available]]*100</f>
        <v>4</v>
      </c>
      <c r="Q185" s="1">
        <f>Table1[[#This Row],[Revenue]]/Table1[[#This Row],[Rooms Booked]]</f>
        <v>21318</v>
      </c>
    </row>
    <row r="186" spans="1:17" x14ac:dyDescent="0.25">
      <c r="A186" s="1" t="s">
        <v>18</v>
      </c>
      <c r="B186" s="1" t="s">
        <v>22</v>
      </c>
      <c r="C186" s="1" t="s">
        <v>169</v>
      </c>
      <c r="D186" s="1">
        <v>17970</v>
      </c>
      <c r="E186" s="1" t="s">
        <v>293</v>
      </c>
      <c r="F186" s="1" t="s">
        <v>295</v>
      </c>
      <c r="G186" s="1">
        <v>50</v>
      </c>
      <c r="H186" s="1">
        <v>1</v>
      </c>
      <c r="I186" s="1" t="s">
        <v>298</v>
      </c>
      <c r="J186" s="1">
        <v>2</v>
      </c>
      <c r="K186" s="1" t="s">
        <v>300</v>
      </c>
      <c r="L186" s="1" t="s">
        <v>302</v>
      </c>
      <c r="M186" s="1">
        <v>1</v>
      </c>
      <c r="N186" s="1">
        <v>5</v>
      </c>
      <c r="O186" s="1">
        <v>17071.5</v>
      </c>
      <c r="P186" s="1">
        <f>Table1[[#This Row],[Rooms Booked]]/Table1[[#This Row],[Rooms Available]]*100</f>
        <v>2</v>
      </c>
      <c r="Q186" s="1">
        <f>Table1[[#This Row],[Revenue]]/Table1[[#This Row],[Rooms Booked]]</f>
        <v>17970</v>
      </c>
    </row>
    <row r="187" spans="1:17" x14ac:dyDescent="0.25">
      <c r="A187" s="1" t="s">
        <v>16</v>
      </c>
      <c r="B187" s="1" t="s">
        <v>21</v>
      </c>
      <c r="C187" s="1" t="s">
        <v>39</v>
      </c>
      <c r="D187" s="1">
        <v>96300</v>
      </c>
      <c r="E187" s="1" t="s">
        <v>292</v>
      </c>
      <c r="F187" s="1" t="s">
        <v>297</v>
      </c>
      <c r="G187" s="1">
        <v>50</v>
      </c>
      <c r="H187" s="1">
        <v>4</v>
      </c>
      <c r="I187" s="1" t="s">
        <v>298</v>
      </c>
      <c r="J187" s="1">
        <v>25</v>
      </c>
      <c r="K187" s="1" t="s">
        <v>300</v>
      </c>
      <c r="L187" s="1" t="s">
        <v>302</v>
      </c>
      <c r="M187" s="1">
        <v>4</v>
      </c>
      <c r="N187" s="1">
        <v>5</v>
      </c>
      <c r="O187" s="1">
        <v>91485</v>
      </c>
      <c r="P187" s="1">
        <f>Table1[[#This Row],[Rooms Booked]]/Table1[[#This Row],[Rooms Available]]*100</f>
        <v>8</v>
      </c>
      <c r="Q187" s="1">
        <f>Table1[[#This Row],[Revenue]]/Table1[[#This Row],[Rooms Booked]]</f>
        <v>24075</v>
      </c>
    </row>
    <row r="188" spans="1:17" x14ac:dyDescent="0.25">
      <c r="A188" s="1" t="s">
        <v>15</v>
      </c>
      <c r="B188" s="1" t="s">
        <v>23</v>
      </c>
      <c r="C188" s="1" t="s">
        <v>170</v>
      </c>
      <c r="D188" s="1">
        <v>101007</v>
      </c>
      <c r="E188" s="1" t="s">
        <v>293</v>
      </c>
      <c r="F188" s="1" t="s">
        <v>295</v>
      </c>
      <c r="G188" s="1">
        <v>50</v>
      </c>
      <c r="H188" s="1">
        <v>3</v>
      </c>
      <c r="I188" s="1" t="s">
        <v>298</v>
      </c>
      <c r="J188" s="1">
        <v>21</v>
      </c>
      <c r="K188" s="1" t="s">
        <v>300</v>
      </c>
      <c r="L188" s="1" t="s">
        <v>305</v>
      </c>
      <c r="M188" s="1">
        <v>5</v>
      </c>
      <c r="N188" s="1">
        <v>0</v>
      </c>
      <c r="O188" s="1">
        <v>101007</v>
      </c>
      <c r="P188" s="1">
        <f>Table1[[#This Row],[Rooms Booked]]/Table1[[#This Row],[Rooms Available]]*100</f>
        <v>6</v>
      </c>
      <c r="Q188" s="1">
        <f>Table1[[#This Row],[Revenue]]/Table1[[#This Row],[Rooms Booked]]</f>
        <v>33669</v>
      </c>
    </row>
    <row r="189" spans="1:17" x14ac:dyDescent="0.25">
      <c r="A189" s="1" t="s">
        <v>18</v>
      </c>
      <c r="B189" s="1" t="s">
        <v>21</v>
      </c>
      <c r="C189" s="1" t="s">
        <v>171</v>
      </c>
      <c r="D189" s="1">
        <v>162276</v>
      </c>
      <c r="E189" s="1" t="s">
        <v>294</v>
      </c>
      <c r="F189" s="1" t="s">
        <v>295</v>
      </c>
      <c r="G189" s="1">
        <v>50</v>
      </c>
      <c r="H189" s="1">
        <v>3</v>
      </c>
      <c r="I189" s="1" t="s">
        <v>298</v>
      </c>
      <c r="J189" s="1">
        <v>11</v>
      </c>
      <c r="K189" s="1" t="s">
        <v>300</v>
      </c>
      <c r="L189" s="1" t="s">
        <v>302</v>
      </c>
      <c r="M189" s="1">
        <v>5</v>
      </c>
      <c r="N189" s="1">
        <v>10</v>
      </c>
      <c r="O189" s="1">
        <v>146048.4</v>
      </c>
      <c r="P189" s="1">
        <f>Table1[[#This Row],[Rooms Booked]]/Table1[[#This Row],[Rooms Available]]*100</f>
        <v>6</v>
      </c>
      <c r="Q189" s="1">
        <f>Table1[[#This Row],[Revenue]]/Table1[[#This Row],[Rooms Booked]]</f>
        <v>54092</v>
      </c>
    </row>
    <row r="190" spans="1:17" x14ac:dyDescent="0.25">
      <c r="A190" s="1" t="s">
        <v>20</v>
      </c>
      <c r="B190" s="1" t="s">
        <v>21</v>
      </c>
      <c r="C190" s="1" t="s">
        <v>63</v>
      </c>
      <c r="D190" s="1">
        <v>0</v>
      </c>
      <c r="E190" s="1" t="s">
        <v>294</v>
      </c>
      <c r="F190" s="1" t="s">
        <v>296</v>
      </c>
      <c r="G190" s="1">
        <v>50</v>
      </c>
      <c r="H190" s="1">
        <v>5</v>
      </c>
      <c r="I190" s="1" t="s">
        <v>299</v>
      </c>
      <c r="J190" s="1">
        <v>30</v>
      </c>
      <c r="K190" s="1" t="s">
        <v>301</v>
      </c>
      <c r="L190" s="1" t="s">
        <v>302</v>
      </c>
      <c r="M190" s="1">
        <v>3</v>
      </c>
      <c r="N190" s="1">
        <v>0</v>
      </c>
      <c r="O190" s="1">
        <v>0</v>
      </c>
      <c r="P190" s="1">
        <f>Table1[[#This Row],[Rooms Booked]]/Table1[[#This Row],[Rooms Available]]*100</f>
        <v>10</v>
      </c>
      <c r="Q190" s="1">
        <f>Table1[[#This Row],[Revenue]]/Table1[[#This Row],[Rooms Booked]]</f>
        <v>0</v>
      </c>
    </row>
    <row r="191" spans="1:17" x14ac:dyDescent="0.25">
      <c r="A191" s="1" t="s">
        <v>18</v>
      </c>
      <c r="B191" s="1" t="s">
        <v>21</v>
      </c>
      <c r="C191" s="1" t="s">
        <v>172</v>
      </c>
      <c r="D191" s="1">
        <v>251020</v>
      </c>
      <c r="E191" s="1" t="s">
        <v>293</v>
      </c>
      <c r="F191" s="1" t="s">
        <v>295</v>
      </c>
      <c r="G191" s="1">
        <v>50</v>
      </c>
      <c r="H191" s="1">
        <v>5</v>
      </c>
      <c r="I191" s="1" t="s">
        <v>298</v>
      </c>
      <c r="J191" s="1">
        <v>30</v>
      </c>
      <c r="K191" s="1" t="s">
        <v>301</v>
      </c>
      <c r="L191" s="1" t="s">
        <v>304</v>
      </c>
      <c r="M191" s="1">
        <v>3</v>
      </c>
      <c r="N191" s="1">
        <v>5</v>
      </c>
      <c r="O191" s="1">
        <v>238469</v>
      </c>
      <c r="P191" s="1">
        <f>Table1[[#This Row],[Rooms Booked]]/Table1[[#This Row],[Rooms Available]]*100</f>
        <v>10</v>
      </c>
      <c r="Q191" s="1">
        <f>Table1[[#This Row],[Revenue]]/Table1[[#This Row],[Rooms Booked]]</f>
        <v>50204</v>
      </c>
    </row>
    <row r="192" spans="1:17" x14ac:dyDescent="0.25">
      <c r="A192" s="1" t="s">
        <v>17</v>
      </c>
      <c r="B192" s="1" t="s">
        <v>23</v>
      </c>
      <c r="C192" s="1" t="s">
        <v>173</v>
      </c>
      <c r="D192" s="1">
        <v>0</v>
      </c>
      <c r="E192" s="1" t="s">
        <v>292</v>
      </c>
      <c r="F192" s="1" t="s">
        <v>295</v>
      </c>
      <c r="G192" s="1">
        <v>50</v>
      </c>
      <c r="H192" s="1">
        <v>3</v>
      </c>
      <c r="I192" s="1" t="s">
        <v>299</v>
      </c>
      <c r="J192" s="1">
        <v>15</v>
      </c>
      <c r="K192" s="1" t="s">
        <v>301</v>
      </c>
      <c r="L192" s="1" t="s">
        <v>304</v>
      </c>
      <c r="M192" s="1">
        <v>4</v>
      </c>
      <c r="N192" s="1">
        <v>0</v>
      </c>
      <c r="O192" s="1">
        <v>0</v>
      </c>
      <c r="P192" s="1">
        <f>Table1[[#This Row],[Rooms Booked]]/Table1[[#This Row],[Rooms Available]]*100</f>
        <v>6</v>
      </c>
      <c r="Q192" s="1">
        <f>Table1[[#This Row],[Revenue]]/Table1[[#This Row],[Rooms Booked]]</f>
        <v>0</v>
      </c>
    </row>
    <row r="193" spans="1:17" x14ac:dyDescent="0.25">
      <c r="A193" s="1" t="s">
        <v>16</v>
      </c>
      <c r="B193" s="1" t="s">
        <v>22</v>
      </c>
      <c r="C193" s="1" t="s">
        <v>174</v>
      </c>
      <c r="D193" s="1">
        <v>62180</v>
      </c>
      <c r="E193" s="1" t="s">
        <v>292</v>
      </c>
      <c r="F193" s="1" t="s">
        <v>295</v>
      </c>
      <c r="G193" s="1">
        <v>50</v>
      </c>
      <c r="H193" s="1">
        <v>5</v>
      </c>
      <c r="I193" s="1" t="s">
        <v>298</v>
      </c>
      <c r="J193" s="1">
        <v>5</v>
      </c>
      <c r="K193" s="1" t="s">
        <v>301</v>
      </c>
      <c r="L193" s="1" t="s">
        <v>305</v>
      </c>
      <c r="M193" s="1">
        <v>1</v>
      </c>
      <c r="N193" s="1">
        <v>5</v>
      </c>
      <c r="O193" s="1">
        <v>59071</v>
      </c>
      <c r="P193" s="1">
        <f>Table1[[#This Row],[Rooms Booked]]/Table1[[#This Row],[Rooms Available]]*100</f>
        <v>10</v>
      </c>
      <c r="Q193" s="1">
        <f>Table1[[#This Row],[Revenue]]/Table1[[#This Row],[Rooms Booked]]</f>
        <v>12436</v>
      </c>
    </row>
    <row r="194" spans="1:17" x14ac:dyDescent="0.25">
      <c r="A194" s="1" t="s">
        <v>15</v>
      </c>
      <c r="B194" s="1" t="s">
        <v>21</v>
      </c>
      <c r="C194" s="1" t="s">
        <v>93</v>
      </c>
      <c r="D194" s="1">
        <v>49904</v>
      </c>
      <c r="E194" s="1" t="s">
        <v>291</v>
      </c>
      <c r="F194" s="1" t="s">
        <v>295</v>
      </c>
      <c r="G194" s="1">
        <v>50</v>
      </c>
      <c r="H194" s="1">
        <v>2</v>
      </c>
      <c r="I194" s="1" t="s">
        <v>298</v>
      </c>
      <c r="J194" s="1">
        <v>11</v>
      </c>
      <c r="K194" s="1" t="s">
        <v>300</v>
      </c>
      <c r="L194" s="1" t="s">
        <v>305</v>
      </c>
      <c r="M194" s="1">
        <v>5</v>
      </c>
      <c r="N194" s="1">
        <v>15</v>
      </c>
      <c r="O194" s="1">
        <v>42418.400000000001</v>
      </c>
      <c r="P194" s="1">
        <f>Table1[[#This Row],[Rooms Booked]]/Table1[[#This Row],[Rooms Available]]*100</f>
        <v>4</v>
      </c>
      <c r="Q194" s="1">
        <f>Table1[[#This Row],[Revenue]]/Table1[[#This Row],[Rooms Booked]]</f>
        <v>24952</v>
      </c>
    </row>
    <row r="195" spans="1:17" x14ac:dyDescent="0.25">
      <c r="A195" s="1" t="s">
        <v>19</v>
      </c>
      <c r="B195" s="1" t="s">
        <v>23</v>
      </c>
      <c r="C195" s="1" t="s">
        <v>175</v>
      </c>
      <c r="D195" s="1">
        <v>80320</v>
      </c>
      <c r="E195" s="1" t="s">
        <v>293</v>
      </c>
      <c r="F195" s="1" t="s">
        <v>297</v>
      </c>
      <c r="G195" s="1">
        <v>50</v>
      </c>
      <c r="H195" s="1">
        <v>5</v>
      </c>
      <c r="I195" s="1" t="s">
        <v>298</v>
      </c>
      <c r="J195" s="1">
        <v>22</v>
      </c>
      <c r="K195" s="1" t="s">
        <v>301</v>
      </c>
      <c r="L195" s="1" t="s">
        <v>303</v>
      </c>
      <c r="M195" s="1">
        <v>1</v>
      </c>
      <c r="N195" s="1">
        <v>10</v>
      </c>
      <c r="O195" s="1">
        <v>72288</v>
      </c>
      <c r="P195" s="1">
        <f>Table1[[#This Row],[Rooms Booked]]/Table1[[#This Row],[Rooms Available]]*100</f>
        <v>10</v>
      </c>
      <c r="Q195" s="1">
        <f>Table1[[#This Row],[Revenue]]/Table1[[#This Row],[Rooms Booked]]</f>
        <v>16064</v>
      </c>
    </row>
    <row r="196" spans="1:17" x14ac:dyDescent="0.25">
      <c r="A196" s="1" t="s">
        <v>18</v>
      </c>
      <c r="B196" s="1" t="s">
        <v>21</v>
      </c>
      <c r="C196" s="1" t="s">
        <v>96</v>
      </c>
      <c r="D196" s="1">
        <v>26150</v>
      </c>
      <c r="E196" s="1" t="s">
        <v>294</v>
      </c>
      <c r="F196" s="1" t="s">
        <v>295</v>
      </c>
      <c r="G196" s="1">
        <v>50</v>
      </c>
      <c r="H196" s="1">
        <v>2</v>
      </c>
      <c r="I196" s="1" t="s">
        <v>298</v>
      </c>
      <c r="J196" s="1">
        <v>2</v>
      </c>
      <c r="K196" s="1" t="s">
        <v>300</v>
      </c>
      <c r="L196" s="1" t="s">
        <v>303</v>
      </c>
      <c r="M196" s="1">
        <v>1</v>
      </c>
      <c r="N196" s="1">
        <v>10</v>
      </c>
      <c r="O196" s="1">
        <v>23535</v>
      </c>
      <c r="P196" s="1">
        <f>Table1[[#This Row],[Rooms Booked]]/Table1[[#This Row],[Rooms Available]]*100</f>
        <v>4</v>
      </c>
      <c r="Q196" s="1">
        <f>Table1[[#This Row],[Revenue]]/Table1[[#This Row],[Rooms Booked]]</f>
        <v>13075</v>
      </c>
    </row>
    <row r="197" spans="1:17" x14ac:dyDescent="0.25">
      <c r="A197" s="1" t="s">
        <v>18</v>
      </c>
      <c r="B197" s="1" t="s">
        <v>23</v>
      </c>
      <c r="C197" s="1" t="s">
        <v>141</v>
      </c>
      <c r="D197" s="1">
        <v>0</v>
      </c>
      <c r="E197" s="1" t="s">
        <v>294</v>
      </c>
      <c r="F197" s="1" t="s">
        <v>295</v>
      </c>
      <c r="G197" s="1">
        <v>50</v>
      </c>
      <c r="H197" s="1">
        <v>3</v>
      </c>
      <c r="I197" s="1" t="s">
        <v>299</v>
      </c>
      <c r="J197" s="1">
        <v>17</v>
      </c>
      <c r="K197" s="1" t="s">
        <v>301</v>
      </c>
      <c r="L197" s="1" t="s">
        <v>305</v>
      </c>
      <c r="M197" s="1">
        <v>2</v>
      </c>
      <c r="N197" s="1">
        <v>15</v>
      </c>
      <c r="O197" s="1">
        <v>0</v>
      </c>
      <c r="P197" s="1">
        <f>Table1[[#This Row],[Rooms Booked]]/Table1[[#This Row],[Rooms Available]]*100</f>
        <v>6</v>
      </c>
      <c r="Q197" s="1">
        <f>Table1[[#This Row],[Revenue]]/Table1[[#This Row],[Rooms Booked]]</f>
        <v>0</v>
      </c>
    </row>
    <row r="198" spans="1:17" x14ac:dyDescent="0.25">
      <c r="A198" s="1" t="s">
        <v>16</v>
      </c>
      <c r="B198" s="1" t="s">
        <v>23</v>
      </c>
      <c r="C198" s="1" t="s">
        <v>176</v>
      </c>
      <c r="D198" s="1">
        <v>179632</v>
      </c>
      <c r="E198" s="1" t="s">
        <v>292</v>
      </c>
      <c r="F198" s="1" t="s">
        <v>295</v>
      </c>
      <c r="G198" s="1">
        <v>50</v>
      </c>
      <c r="H198" s="1">
        <v>4</v>
      </c>
      <c r="I198" s="1" t="s">
        <v>298</v>
      </c>
      <c r="J198" s="1">
        <v>19</v>
      </c>
      <c r="K198" s="1" t="s">
        <v>300</v>
      </c>
      <c r="L198" s="1" t="s">
        <v>302</v>
      </c>
      <c r="M198" s="1">
        <v>5</v>
      </c>
      <c r="N198" s="1">
        <v>5</v>
      </c>
      <c r="O198" s="1">
        <v>170650.4</v>
      </c>
      <c r="P198" s="1">
        <f>Table1[[#This Row],[Rooms Booked]]/Table1[[#This Row],[Rooms Available]]*100</f>
        <v>8</v>
      </c>
      <c r="Q198" s="1">
        <f>Table1[[#This Row],[Revenue]]/Table1[[#This Row],[Rooms Booked]]</f>
        <v>44908</v>
      </c>
    </row>
    <row r="199" spans="1:17" x14ac:dyDescent="0.25">
      <c r="A199" s="1" t="s">
        <v>17</v>
      </c>
      <c r="B199" s="1" t="s">
        <v>21</v>
      </c>
      <c r="C199" s="1" t="s">
        <v>25</v>
      </c>
      <c r="D199" s="1">
        <v>38008</v>
      </c>
      <c r="E199" s="1" t="s">
        <v>292</v>
      </c>
      <c r="F199" s="1" t="s">
        <v>295</v>
      </c>
      <c r="G199" s="1">
        <v>50</v>
      </c>
      <c r="H199" s="1">
        <v>1</v>
      </c>
      <c r="I199" s="1" t="s">
        <v>298</v>
      </c>
      <c r="J199" s="1">
        <v>3</v>
      </c>
      <c r="K199" s="1" t="s">
        <v>301</v>
      </c>
      <c r="L199" s="1" t="s">
        <v>302</v>
      </c>
      <c r="M199" s="1">
        <v>4</v>
      </c>
      <c r="N199" s="1">
        <v>10</v>
      </c>
      <c r="O199" s="1">
        <v>34207.199999999997</v>
      </c>
      <c r="P199" s="1">
        <f>Table1[[#This Row],[Rooms Booked]]/Table1[[#This Row],[Rooms Available]]*100</f>
        <v>2</v>
      </c>
      <c r="Q199" s="1">
        <f>Table1[[#This Row],[Revenue]]/Table1[[#This Row],[Rooms Booked]]</f>
        <v>38008</v>
      </c>
    </row>
    <row r="200" spans="1:17" x14ac:dyDescent="0.25">
      <c r="A200" s="1" t="s">
        <v>20</v>
      </c>
      <c r="B200" s="1" t="s">
        <v>22</v>
      </c>
      <c r="C200" s="1" t="s">
        <v>177</v>
      </c>
      <c r="D200" s="1">
        <v>9844</v>
      </c>
      <c r="E200" s="1" t="s">
        <v>293</v>
      </c>
      <c r="F200" s="1" t="s">
        <v>297</v>
      </c>
      <c r="G200" s="1">
        <v>50</v>
      </c>
      <c r="H200" s="1">
        <v>1</v>
      </c>
      <c r="I200" s="1" t="s">
        <v>298</v>
      </c>
      <c r="J200" s="1">
        <v>30</v>
      </c>
      <c r="K200" s="1" t="s">
        <v>300</v>
      </c>
      <c r="L200" s="1" t="s">
        <v>304</v>
      </c>
      <c r="M200" s="1">
        <v>1</v>
      </c>
      <c r="N200" s="1">
        <v>15</v>
      </c>
      <c r="O200" s="1">
        <v>8367.4</v>
      </c>
      <c r="P200" s="1">
        <f>Table1[[#This Row],[Rooms Booked]]/Table1[[#This Row],[Rooms Available]]*100</f>
        <v>2</v>
      </c>
      <c r="Q200" s="1">
        <f>Table1[[#This Row],[Revenue]]/Table1[[#This Row],[Rooms Booked]]</f>
        <v>9844</v>
      </c>
    </row>
    <row r="201" spans="1:17" x14ac:dyDescent="0.25">
      <c r="A201" s="1" t="s">
        <v>20</v>
      </c>
      <c r="B201" s="1" t="s">
        <v>21</v>
      </c>
      <c r="C201" s="1" t="s">
        <v>89</v>
      </c>
      <c r="D201" s="1">
        <v>122608</v>
      </c>
      <c r="E201" s="1" t="s">
        <v>291</v>
      </c>
      <c r="F201" s="1" t="s">
        <v>295</v>
      </c>
      <c r="G201" s="1">
        <v>50</v>
      </c>
      <c r="H201" s="1">
        <v>4</v>
      </c>
      <c r="I201" s="1" t="s">
        <v>298</v>
      </c>
      <c r="J201" s="1">
        <v>17</v>
      </c>
      <c r="K201" s="1" t="s">
        <v>300</v>
      </c>
      <c r="L201" s="1" t="s">
        <v>302</v>
      </c>
      <c r="M201" s="1">
        <v>2</v>
      </c>
      <c r="N201" s="1">
        <v>15</v>
      </c>
      <c r="O201" s="1">
        <v>104216.8</v>
      </c>
      <c r="P201" s="1">
        <f>Table1[[#This Row],[Rooms Booked]]/Table1[[#This Row],[Rooms Available]]*100</f>
        <v>8</v>
      </c>
      <c r="Q201" s="1">
        <f>Table1[[#This Row],[Revenue]]/Table1[[#This Row],[Rooms Booked]]</f>
        <v>30652</v>
      </c>
    </row>
    <row r="202" spans="1:17" x14ac:dyDescent="0.25">
      <c r="A202" s="1" t="s">
        <v>16</v>
      </c>
      <c r="B202" s="1" t="s">
        <v>23</v>
      </c>
      <c r="C202" s="1" t="s">
        <v>178</v>
      </c>
      <c r="D202" s="1">
        <v>47490</v>
      </c>
      <c r="E202" s="1" t="s">
        <v>294</v>
      </c>
      <c r="F202" s="1" t="s">
        <v>295</v>
      </c>
      <c r="G202" s="1">
        <v>50</v>
      </c>
      <c r="H202" s="1">
        <v>3</v>
      </c>
      <c r="I202" s="1" t="s">
        <v>298</v>
      </c>
      <c r="J202" s="1">
        <v>22</v>
      </c>
      <c r="K202" s="1" t="s">
        <v>301</v>
      </c>
      <c r="L202" s="1" t="s">
        <v>306</v>
      </c>
      <c r="M202" s="1">
        <v>4</v>
      </c>
      <c r="N202" s="1">
        <v>15</v>
      </c>
      <c r="O202" s="1">
        <v>40366.5</v>
      </c>
      <c r="P202" s="1">
        <f>Table1[[#This Row],[Rooms Booked]]/Table1[[#This Row],[Rooms Available]]*100</f>
        <v>6</v>
      </c>
      <c r="Q202" s="1">
        <f>Table1[[#This Row],[Revenue]]/Table1[[#This Row],[Rooms Booked]]</f>
        <v>15830</v>
      </c>
    </row>
    <row r="203" spans="1:17" x14ac:dyDescent="0.25">
      <c r="A203" s="1" t="s">
        <v>17</v>
      </c>
      <c r="B203" s="1" t="s">
        <v>22</v>
      </c>
      <c r="C203" s="1" t="s">
        <v>179</v>
      </c>
      <c r="D203" s="1">
        <v>14802</v>
      </c>
      <c r="E203" s="1" t="s">
        <v>293</v>
      </c>
      <c r="F203" s="1" t="s">
        <v>295</v>
      </c>
      <c r="G203" s="1">
        <v>50</v>
      </c>
      <c r="H203" s="1">
        <v>1</v>
      </c>
      <c r="I203" s="1" t="s">
        <v>298</v>
      </c>
      <c r="J203" s="1">
        <v>17</v>
      </c>
      <c r="K203" s="1" t="s">
        <v>300</v>
      </c>
      <c r="L203" s="1" t="s">
        <v>305</v>
      </c>
      <c r="M203" s="1">
        <v>3</v>
      </c>
      <c r="N203" s="1">
        <v>0</v>
      </c>
      <c r="O203" s="1">
        <v>14802</v>
      </c>
      <c r="P203" s="1">
        <f>Table1[[#This Row],[Rooms Booked]]/Table1[[#This Row],[Rooms Available]]*100</f>
        <v>2</v>
      </c>
      <c r="Q203" s="1">
        <f>Table1[[#This Row],[Revenue]]/Table1[[#This Row],[Rooms Booked]]</f>
        <v>14802</v>
      </c>
    </row>
    <row r="204" spans="1:17" x14ac:dyDescent="0.25">
      <c r="A204" s="1" t="s">
        <v>18</v>
      </c>
      <c r="B204" s="1" t="s">
        <v>21</v>
      </c>
      <c r="C204" s="1" t="s">
        <v>82</v>
      </c>
      <c r="D204" s="1">
        <v>60162</v>
      </c>
      <c r="E204" s="1" t="s">
        <v>291</v>
      </c>
      <c r="F204" s="1" t="s">
        <v>295</v>
      </c>
      <c r="G204" s="1">
        <v>50</v>
      </c>
      <c r="H204" s="1">
        <v>3</v>
      </c>
      <c r="I204" s="1" t="s">
        <v>298</v>
      </c>
      <c r="J204" s="1">
        <v>12</v>
      </c>
      <c r="K204" s="1" t="s">
        <v>301</v>
      </c>
      <c r="L204" s="1" t="s">
        <v>304</v>
      </c>
      <c r="M204" s="1">
        <v>1</v>
      </c>
      <c r="N204" s="1">
        <v>10</v>
      </c>
      <c r="O204" s="1">
        <v>54145.8</v>
      </c>
      <c r="P204" s="1">
        <f>Table1[[#This Row],[Rooms Booked]]/Table1[[#This Row],[Rooms Available]]*100</f>
        <v>6</v>
      </c>
      <c r="Q204" s="1">
        <f>Table1[[#This Row],[Revenue]]/Table1[[#This Row],[Rooms Booked]]</f>
        <v>20054</v>
      </c>
    </row>
    <row r="205" spans="1:17" x14ac:dyDescent="0.25">
      <c r="A205" s="1" t="s">
        <v>17</v>
      </c>
      <c r="B205" s="1" t="s">
        <v>23</v>
      </c>
      <c r="C205" s="1" t="s">
        <v>180</v>
      </c>
      <c r="D205" s="1">
        <v>0</v>
      </c>
      <c r="E205" s="1" t="s">
        <v>293</v>
      </c>
      <c r="F205" s="1" t="s">
        <v>295</v>
      </c>
      <c r="G205" s="1">
        <v>50</v>
      </c>
      <c r="H205" s="1">
        <v>1</v>
      </c>
      <c r="I205" s="1" t="s">
        <v>299</v>
      </c>
      <c r="J205" s="1">
        <v>13</v>
      </c>
      <c r="K205" s="1" t="s">
        <v>300</v>
      </c>
      <c r="L205" s="1" t="s">
        <v>306</v>
      </c>
      <c r="M205" s="1">
        <v>3</v>
      </c>
      <c r="N205" s="1">
        <v>15</v>
      </c>
      <c r="O205" s="1">
        <v>0</v>
      </c>
      <c r="P205" s="1">
        <f>Table1[[#This Row],[Rooms Booked]]/Table1[[#This Row],[Rooms Available]]*100</f>
        <v>2</v>
      </c>
      <c r="Q205" s="1">
        <f>Table1[[#This Row],[Revenue]]/Table1[[#This Row],[Rooms Booked]]</f>
        <v>0</v>
      </c>
    </row>
    <row r="206" spans="1:17" x14ac:dyDescent="0.25">
      <c r="A206" s="1" t="s">
        <v>20</v>
      </c>
      <c r="B206" s="1" t="s">
        <v>22</v>
      </c>
      <c r="C206" s="1" t="s">
        <v>181</v>
      </c>
      <c r="D206" s="1">
        <v>0</v>
      </c>
      <c r="E206" s="1" t="s">
        <v>292</v>
      </c>
      <c r="F206" s="1" t="s">
        <v>295</v>
      </c>
      <c r="G206" s="1">
        <v>50</v>
      </c>
      <c r="H206" s="1">
        <v>3</v>
      </c>
      <c r="I206" s="1" t="s">
        <v>299</v>
      </c>
      <c r="J206" s="1">
        <v>15</v>
      </c>
      <c r="K206" s="1" t="s">
        <v>301</v>
      </c>
      <c r="L206" s="1" t="s">
        <v>302</v>
      </c>
      <c r="M206" s="1">
        <v>3</v>
      </c>
      <c r="N206" s="1">
        <v>5</v>
      </c>
      <c r="O206" s="1">
        <v>0</v>
      </c>
      <c r="P206" s="1">
        <f>Table1[[#This Row],[Rooms Booked]]/Table1[[#This Row],[Rooms Available]]*100</f>
        <v>6</v>
      </c>
      <c r="Q206" s="1">
        <f>Table1[[#This Row],[Revenue]]/Table1[[#This Row],[Rooms Booked]]</f>
        <v>0</v>
      </c>
    </row>
    <row r="207" spans="1:17" x14ac:dyDescent="0.25">
      <c r="A207" s="1" t="s">
        <v>20</v>
      </c>
      <c r="B207" s="1" t="s">
        <v>23</v>
      </c>
      <c r="C207" s="1" t="s">
        <v>182</v>
      </c>
      <c r="D207" s="1">
        <v>18504</v>
      </c>
      <c r="E207" s="1" t="s">
        <v>293</v>
      </c>
      <c r="F207" s="1" t="s">
        <v>297</v>
      </c>
      <c r="G207" s="1">
        <v>50</v>
      </c>
      <c r="H207" s="1">
        <v>2</v>
      </c>
      <c r="I207" s="1" t="s">
        <v>298</v>
      </c>
      <c r="J207" s="1">
        <v>7</v>
      </c>
      <c r="K207" s="1" t="s">
        <v>300</v>
      </c>
      <c r="L207" s="1" t="s">
        <v>304</v>
      </c>
      <c r="M207" s="1">
        <v>4</v>
      </c>
      <c r="N207" s="1">
        <v>5</v>
      </c>
      <c r="O207" s="1">
        <v>17578.8</v>
      </c>
      <c r="P207" s="1">
        <f>Table1[[#This Row],[Rooms Booked]]/Table1[[#This Row],[Rooms Available]]*100</f>
        <v>4</v>
      </c>
      <c r="Q207" s="1">
        <f>Table1[[#This Row],[Revenue]]/Table1[[#This Row],[Rooms Booked]]</f>
        <v>9252</v>
      </c>
    </row>
    <row r="208" spans="1:17" x14ac:dyDescent="0.25">
      <c r="A208" s="1" t="s">
        <v>15</v>
      </c>
      <c r="B208" s="1" t="s">
        <v>22</v>
      </c>
      <c r="C208" s="1" t="s">
        <v>89</v>
      </c>
      <c r="D208" s="1">
        <v>0</v>
      </c>
      <c r="E208" s="1" t="s">
        <v>294</v>
      </c>
      <c r="F208" s="1" t="s">
        <v>295</v>
      </c>
      <c r="G208" s="1">
        <v>50</v>
      </c>
      <c r="H208" s="1">
        <v>2</v>
      </c>
      <c r="I208" s="1" t="s">
        <v>299</v>
      </c>
      <c r="J208" s="1">
        <v>14</v>
      </c>
      <c r="K208" s="1" t="s">
        <v>300</v>
      </c>
      <c r="L208" s="1" t="s">
        <v>305</v>
      </c>
      <c r="M208" s="1">
        <v>1</v>
      </c>
      <c r="N208" s="1">
        <v>10</v>
      </c>
      <c r="O208" s="1">
        <v>0</v>
      </c>
      <c r="P208" s="1">
        <f>Table1[[#This Row],[Rooms Booked]]/Table1[[#This Row],[Rooms Available]]*100</f>
        <v>4</v>
      </c>
      <c r="Q208" s="1">
        <f>Table1[[#This Row],[Revenue]]/Table1[[#This Row],[Rooms Booked]]</f>
        <v>0</v>
      </c>
    </row>
    <row r="209" spans="1:17" x14ac:dyDescent="0.25">
      <c r="A209" s="1" t="s">
        <v>16</v>
      </c>
      <c r="B209" s="1" t="s">
        <v>21</v>
      </c>
      <c r="C209" s="1" t="s">
        <v>183</v>
      </c>
      <c r="D209" s="1">
        <v>26280</v>
      </c>
      <c r="E209" s="1" t="s">
        <v>293</v>
      </c>
      <c r="F209" s="1" t="s">
        <v>296</v>
      </c>
      <c r="G209" s="1">
        <v>50</v>
      </c>
      <c r="H209" s="1">
        <v>4</v>
      </c>
      <c r="I209" s="1" t="s">
        <v>298</v>
      </c>
      <c r="J209" s="1">
        <v>15</v>
      </c>
      <c r="K209" s="1" t="s">
        <v>301</v>
      </c>
      <c r="L209" s="1" t="s">
        <v>306</v>
      </c>
      <c r="M209" s="1">
        <v>5</v>
      </c>
      <c r="N209" s="1">
        <v>0</v>
      </c>
      <c r="O209" s="1">
        <v>26280</v>
      </c>
      <c r="P209" s="1">
        <f>Table1[[#This Row],[Rooms Booked]]/Table1[[#This Row],[Rooms Available]]*100</f>
        <v>8</v>
      </c>
      <c r="Q209" s="1">
        <f>Table1[[#This Row],[Revenue]]/Table1[[#This Row],[Rooms Booked]]</f>
        <v>6570</v>
      </c>
    </row>
    <row r="210" spans="1:17" x14ac:dyDescent="0.25">
      <c r="A210" s="1" t="s">
        <v>15</v>
      </c>
      <c r="B210" s="1" t="s">
        <v>22</v>
      </c>
      <c r="C210" s="1" t="s">
        <v>184</v>
      </c>
      <c r="D210" s="1">
        <v>147456</v>
      </c>
      <c r="E210" s="1" t="s">
        <v>292</v>
      </c>
      <c r="F210" s="1" t="s">
        <v>296</v>
      </c>
      <c r="G210" s="1">
        <v>50</v>
      </c>
      <c r="H210" s="1">
        <v>4</v>
      </c>
      <c r="I210" s="1" t="s">
        <v>298</v>
      </c>
      <c r="J210" s="1">
        <v>1</v>
      </c>
      <c r="K210" s="1" t="s">
        <v>301</v>
      </c>
      <c r="L210" s="1" t="s">
        <v>305</v>
      </c>
      <c r="M210" s="1">
        <v>5</v>
      </c>
      <c r="N210" s="1">
        <v>15</v>
      </c>
      <c r="O210" s="1">
        <v>125337.60000000001</v>
      </c>
      <c r="P210" s="1">
        <f>Table1[[#This Row],[Rooms Booked]]/Table1[[#This Row],[Rooms Available]]*100</f>
        <v>8</v>
      </c>
      <c r="Q210" s="1">
        <f>Table1[[#This Row],[Revenue]]/Table1[[#This Row],[Rooms Booked]]</f>
        <v>36864</v>
      </c>
    </row>
    <row r="211" spans="1:17" x14ac:dyDescent="0.25">
      <c r="A211" s="1" t="s">
        <v>19</v>
      </c>
      <c r="B211" s="1" t="s">
        <v>22</v>
      </c>
      <c r="C211" s="1" t="s">
        <v>185</v>
      </c>
      <c r="D211" s="1">
        <v>27798</v>
      </c>
      <c r="E211" s="1" t="s">
        <v>292</v>
      </c>
      <c r="F211" s="1" t="s">
        <v>296</v>
      </c>
      <c r="G211" s="1">
        <v>50</v>
      </c>
      <c r="H211" s="1">
        <v>3</v>
      </c>
      <c r="I211" s="1" t="s">
        <v>298</v>
      </c>
      <c r="J211" s="1">
        <v>21</v>
      </c>
      <c r="K211" s="1" t="s">
        <v>301</v>
      </c>
      <c r="L211" s="1" t="s">
        <v>306</v>
      </c>
      <c r="M211" s="1">
        <v>5</v>
      </c>
      <c r="N211" s="1">
        <v>5</v>
      </c>
      <c r="O211" s="1">
        <v>26408.1</v>
      </c>
      <c r="P211" s="1">
        <f>Table1[[#This Row],[Rooms Booked]]/Table1[[#This Row],[Rooms Available]]*100</f>
        <v>6</v>
      </c>
      <c r="Q211" s="1">
        <f>Table1[[#This Row],[Revenue]]/Table1[[#This Row],[Rooms Booked]]</f>
        <v>9266</v>
      </c>
    </row>
    <row r="212" spans="1:17" x14ac:dyDescent="0.25">
      <c r="A212" s="1" t="s">
        <v>18</v>
      </c>
      <c r="B212" s="1" t="s">
        <v>21</v>
      </c>
      <c r="C212" s="1" t="s">
        <v>81</v>
      </c>
      <c r="D212" s="1">
        <v>116412</v>
      </c>
      <c r="E212" s="1" t="s">
        <v>292</v>
      </c>
      <c r="F212" s="1" t="s">
        <v>295</v>
      </c>
      <c r="G212" s="1">
        <v>50</v>
      </c>
      <c r="H212" s="1">
        <v>4</v>
      </c>
      <c r="I212" s="1" t="s">
        <v>298</v>
      </c>
      <c r="J212" s="1">
        <v>27</v>
      </c>
      <c r="K212" s="1" t="s">
        <v>300</v>
      </c>
      <c r="L212" s="1" t="s">
        <v>306</v>
      </c>
      <c r="M212" s="1">
        <v>3</v>
      </c>
      <c r="N212" s="1">
        <v>10</v>
      </c>
      <c r="O212" s="1">
        <v>104770.8</v>
      </c>
      <c r="P212" s="1">
        <f>Table1[[#This Row],[Rooms Booked]]/Table1[[#This Row],[Rooms Available]]*100</f>
        <v>8</v>
      </c>
      <c r="Q212" s="1">
        <f>Table1[[#This Row],[Revenue]]/Table1[[#This Row],[Rooms Booked]]</f>
        <v>29103</v>
      </c>
    </row>
    <row r="213" spans="1:17" x14ac:dyDescent="0.25">
      <c r="A213" s="1" t="s">
        <v>17</v>
      </c>
      <c r="B213" s="1" t="s">
        <v>22</v>
      </c>
      <c r="C213" s="1" t="s">
        <v>186</v>
      </c>
      <c r="D213" s="1">
        <v>124680</v>
      </c>
      <c r="E213" s="1" t="s">
        <v>294</v>
      </c>
      <c r="F213" s="1" t="s">
        <v>297</v>
      </c>
      <c r="G213" s="1">
        <v>50</v>
      </c>
      <c r="H213" s="1">
        <v>5</v>
      </c>
      <c r="I213" s="1" t="s">
        <v>298</v>
      </c>
      <c r="J213" s="1">
        <v>18</v>
      </c>
      <c r="K213" s="1" t="s">
        <v>300</v>
      </c>
      <c r="L213" s="1" t="s">
        <v>302</v>
      </c>
      <c r="M213" s="1">
        <v>1</v>
      </c>
      <c r="N213" s="1">
        <v>0</v>
      </c>
      <c r="O213" s="1">
        <v>124680</v>
      </c>
      <c r="P213" s="1">
        <f>Table1[[#This Row],[Rooms Booked]]/Table1[[#This Row],[Rooms Available]]*100</f>
        <v>10</v>
      </c>
      <c r="Q213" s="1">
        <f>Table1[[#This Row],[Revenue]]/Table1[[#This Row],[Rooms Booked]]</f>
        <v>24936</v>
      </c>
    </row>
    <row r="214" spans="1:17" x14ac:dyDescent="0.25">
      <c r="A214" s="1" t="s">
        <v>16</v>
      </c>
      <c r="B214" s="1" t="s">
        <v>22</v>
      </c>
      <c r="C214" s="1" t="s">
        <v>187</v>
      </c>
      <c r="D214" s="1">
        <v>6033</v>
      </c>
      <c r="E214" s="1" t="s">
        <v>294</v>
      </c>
      <c r="F214" s="1" t="s">
        <v>297</v>
      </c>
      <c r="G214" s="1">
        <v>50</v>
      </c>
      <c r="H214" s="1">
        <v>1</v>
      </c>
      <c r="I214" s="1" t="s">
        <v>298</v>
      </c>
      <c r="J214" s="1">
        <v>28</v>
      </c>
      <c r="K214" s="1" t="s">
        <v>301</v>
      </c>
      <c r="L214" s="1" t="s">
        <v>305</v>
      </c>
      <c r="M214" s="1">
        <v>5</v>
      </c>
      <c r="N214" s="1">
        <v>15</v>
      </c>
      <c r="O214" s="1">
        <v>5128.05</v>
      </c>
      <c r="P214" s="1">
        <f>Table1[[#This Row],[Rooms Booked]]/Table1[[#This Row],[Rooms Available]]*100</f>
        <v>2</v>
      </c>
      <c r="Q214" s="1">
        <f>Table1[[#This Row],[Revenue]]/Table1[[#This Row],[Rooms Booked]]</f>
        <v>6033</v>
      </c>
    </row>
    <row r="215" spans="1:17" x14ac:dyDescent="0.25">
      <c r="A215" s="1" t="s">
        <v>18</v>
      </c>
      <c r="B215" s="1" t="s">
        <v>22</v>
      </c>
      <c r="C215" s="1" t="s">
        <v>163</v>
      </c>
      <c r="D215" s="1">
        <v>136764</v>
      </c>
      <c r="E215" s="1" t="s">
        <v>294</v>
      </c>
      <c r="F215" s="1" t="s">
        <v>296</v>
      </c>
      <c r="G215" s="1">
        <v>50</v>
      </c>
      <c r="H215" s="1">
        <v>3</v>
      </c>
      <c r="I215" s="1" t="s">
        <v>298</v>
      </c>
      <c r="J215" s="1">
        <v>20</v>
      </c>
      <c r="K215" s="1" t="s">
        <v>300</v>
      </c>
      <c r="L215" s="1" t="s">
        <v>302</v>
      </c>
      <c r="M215" s="1">
        <v>4</v>
      </c>
      <c r="N215" s="1">
        <v>15</v>
      </c>
      <c r="O215" s="1">
        <v>116249.4</v>
      </c>
      <c r="P215" s="1">
        <f>Table1[[#This Row],[Rooms Booked]]/Table1[[#This Row],[Rooms Available]]*100</f>
        <v>6</v>
      </c>
      <c r="Q215" s="1">
        <f>Table1[[#This Row],[Revenue]]/Table1[[#This Row],[Rooms Booked]]</f>
        <v>45588</v>
      </c>
    </row>
    <row r="216" spans="1:17" x14ac:dyDescent="0.25">
      <c r="A216" s="1" t="s">
        <v>20</v>
      </c>
      <c r="B216" s="1" t="s">
        <v>21</v>
      </c>
      <c r="C216" s="1" t="s">
        <v>170</v>
      </c>
      <c r="D216" s="1">
        <v>112464</v>
      </c>
      <c r="E216" s="1" t="s">
        <v>292</v>
      </c>
      <c r="F216" s="1" t="s">
        <v>295</v>
      </c>
      <c r="G216" s="1">
        <v>50</v>
      </c>
      <c r="H216" s="1">
        <v>2</v>
      </c>
      <c r="I216" s="1" t="s">
        <v>298</v>
      </c>
      <c r="J216" s="1">
        <v>11</v>
      </c>
      <c r="K216" s="1" t="s">
        <v>301</v>
      </c>
      <c r="L216" s="1" t="s">
        <v>304</v>
      </c>
      <c r="M216" s="1">
        <v>5</v>
      </c>
      <c r="N216" s="1">
        <v>10</v>
      </c>
      <c r="O216" s="1">
        <v>101217.60000000001</v>
      </c>
      <c r="P216" s="1">
        <f>Table1[[#This Row],[Rooms Booked]]/Table1[[#This Row],[Rooms Available]]*100</f>
        <v>4</v>
      </c>
      <c r="Q216" s="1">
        <f>Table1[[#This Row],[Revenue]]/Table1[[#This Row],[Rooms Booked]]</f>
        <v>56232</v>
      </c>
    </row>
    <row r="217" spans="1:17" x14ac:dyDescent="0.25">
      <c r="A217" s="1" t="s">
        <v>19</v>
      </c>
      <c r="B217" s="1" t="s">
        <v>23</v>
      </c>
      <c r="C217" s="1" t="s">
        <v>188</v>
      </c>
      <c r="D217" s="1">
        <v>57496</v>
      </c>
      <c r="E217" s="1" t="s">
        <v>291</v>
      </c>
      <c r="F217" s="1" t="s">
        <v>295</v>
      </c>
      <c r="G217" s="1">
        <v>50</v>
      </c>
      <c r="H217" s="1">
        <v>4</v>
      </c>
      <c r="I217" s="1" t="s">
        <v>298</v>
      </c>
      <c r="J217" s="1">
        <v>6</v>
      </c>
      <c r="K217" s="1" t="s">
        <v>300</v>
      </c>
      <c r="L217" s="1" t="s">
        <v>303</v>
      </c>
      <c r="M217" s="1">
        <v>2</v>
      </c>
      <c r="N217" s="1">
        <v>15</v>
      </c>
      <c r="O217" s="1">
        <v>48871.6</v>
      </c>
      <c r="P217" s="1">
        <f>Table1[[#This Row],[Rooms Booked]]/Table1[[#This Row],[Rooms Available]]*100</f>
        <v>8</v>
      </c>
      <c r="Q217" s="1">
        <f>Table1[[#This Row],[Revenue]]/Table1[[#This Row],[Rooms Booked]]</f>
        <v>14374</v>
      </c>
    </row>
    <row r="218" spans="1:17" x14ac:dyDescent="0.25">
      <c r="A218" s="1" t="s">
        <v>16</v>
      </c>
      <c r="B218" s="1" t="s">
        <v>22</v>
      </c>
      <c r="C218" s="1" t="s">
        <v>189</v>
      </c>
      <c r="D218" s="1">
        <v>37035</v>
      </c>
      <c r="E218" s="1" t="s">
        <v>294</v>
      </c>
      <c r="F218" s="1" t="s">
        <v>296</v>
      </c>
      <c r="G218" s="1">
        <v>50</v>
      </c>
      <c r="H218" s="1">
        <v>5</v>
      </c>
      <c r="I218" s="1" t="s">
        <v>298</v>
      </c>
      <c r="J218" s="1">
        <v>23</v>
      </c>
      <c r="K218" s="1" t="s">
        <v>301</v>
      </c>
      <c r="L218" s="1" t="s">
        <v>305</v>
      </c>
      <c r="M218" s="1">
        <v>1</v>
      </c>
      <c r="N218" s="1">
        <v>0</v>
      </c>
      <c r="O218" s="1">
        <v>37035</v>
      </c>
      <c r="P218" s="1">
        <f>Table1[[#This Row],[Rooms Booked]]/Table1[[#This Row],[Rooms Available]]*100</f>
        <v>10</v>
      </c>
      <c r="Q218" s="1">
        <f>Table1[[#This Row],[Revenue]]/Table1[[#This Row],[Rooms Booked]]</f>
        <v>7407</v>
      </c>
    </row>
    <row r="219" spans="1:17" x14ac:dyDescent="0.25">
      <c r="A219" s="1" t="s">
        <v>16</v>
      </c>
      <c r="B219" s="1" t="s">
        <v>23</v>
      </c>
      <c r="C219" s="1" t="s">
        <v>124</v>
      </c>
      <c r="D219" s="1">
        <v>211952</v>
      </c>
      <c r="E219" s="1" t="s">
        <v>292</v>
      </c>
      <c r="F219" s="1" t="s">
        <v>295</v>
      </c>
      <c r="G219" s="1">
        <v>50</v>
      </c>
      <c r="H219" s="1">
        <v>4</v>
      </c>
      <c r="I219" s="1" t="s">
        <v>298</v>
      </c>
      <c r="J219" s="1">
        <v>28</v>
      </c>
      <c r="K219" s="1" t="s">
        <v>301</v>
      </c>
      <c r="L219" s="1" t="s">
        <v>303</v>
      </c>
      <c r="M219" s="1">
        <v>5</v>
      </c>
      <c r="N219" s="1">
        <v>10</v>
      </c>
      <c r="O219" s="1">
        <v>190756.8</v>
      </c>
      <c r="P219" s="1">
        <f>Table1[[#This Row],[Rooms Booked]]/Table1[[#This Row],[Rooms Available]]*100</f>
        <v>8</v>
      </c>
      <c r="Q219" s="1">
        <f>Table1[[#This Row],[Revenue]]/Table1[[#This Row],[Rooms Booked]]</f>
        <v>52988</v>
      </c>
    </row>
    <row r="220" spans="1:17" x14ac:dyDescent="0.25">
      <c r="A220" s="1" t="s">
        <v>18</v>
      </c>
      <c r="B220" s="1" t="s">
        <v>21</v>
      </c>
      <c r="C220" s="1" t="s">
        <v>118</v>
      </c>
      <c r="D220" s="1">
        <v>128510</v>
      </c>
      <c r="E220" s="1" t="s">
        <v>291</v>
      </c>
      <c r="F220" s="1" t="s">
        <v>295</v>
      </c>
      <c r="G220" s="1">
        <v>50</v>
      </c>
      <c r="H220" s="1">
        <v>5</v>
      </c>
      <c r="I220" s="1" t="s">
        <v>298</v>
      </c>
      <c r="J220" s="1">
        <v>2</v>
      </c>
      <c r="K220" s="1" t="s">
        <v>300</v>
      </c>
      <c r="L220" s="1" t="s">
        <v>304</v>
      </c>
      <c r="M220" s="1">
        <v>2</v>
      </c>
      <c r="N220" s="1">
        <v>5</v>
      </c>
      <c r="O220" s="1">
        <v>122084.5</v>
      </c>
      <c r="P220" s="1">
        <f>Table1[[#This Row],[Rooms Booked]]/Table1[[#This Row],[Rooms Available]]*100</f>
        <v>10</v>
      </c>
      <c r="Q220" s="1">
        <f>Table1[[#This Row],[Revenue]]/Table1[[#This Row],[Rooms Booked]]</f>
        <v>25702</v>
      </c>
    </row>
    <row r="221" spans="1:17" x14ac:dyDescent="0.25">
      <c r="A221" s="1" t="s">
        <v>16</v>
      </c>
      <c r="B221" s="1" t="s">
        <v>23</v>
      </c>
      <c r="C221" s="1" t="s">
        <v>190</v>
      </c>
      <c r="D221" s="1">
        <v>45104</v>
      </c>
      <c r="E221" s="1" t="s">
        <v>291</v>
      </c>
      <c r="F221" s="1" t="s">
        <v>295</v>
      </c>
      <c r="G221" s="1">
        <v>50</v>
      </c>
      <c r="H221" s="1">
        <v>2</v>
      </c>
      <c r="I221" s="1" t="s">
        <v>298</v>
      </c>
      <c r="J221" s="1">
        <v>5</v>
      </c>
      <c r="K221" s="1" t="s">
        <v>301</v>
      </c>
      <c r="L221" s="1" t="s">
        <v>306</v>
      </c>
      <c r="M221" s="1">
        <v>3</v>
      </c>
      <c r="N221" s="1">
        <v>10</v>
      </c>
      <c r="O221" s="1">
        <v>40593.599999999999</v>
      </c>
      <c r="P221" s="1">
        <f>Table1[[#This Row],[Rooms Booked]]/Table1[[#This Row],[Rooms Available]]*100</f>
        <v>4</v>
      </c>
      <c r="Q221" s="1">
        <f>Table1[[#This Row],[Revenue]]/Table1[[#This Row],[Rooms Booked]]</f>
        <v>22552</v>
      </c>
    </row>
    <row r="222" spans="1:17" x14ac:dyDescent="0.25">
      <c r="A222" s="1" t="s">
        <v>17</v>
      </c>
      <c r="B222" s="1" t="s">
        <v>22</v>
      </c>
      <c r="C222" s="1" t="s">
        <v>191</v>
      </c>
      <c r="D222" s="1">
        <v>44781</v>
      </c>
      <c r="E222" s="1" t="s">
        <v>294</v>
      </c>
      <c r="F222" s="1" t="s">
        <v>295</v>
      </c>
      <c r="G222" s="1">
        <v>50</v>
      </c>
      <c r="H222" s="1">
        <v>3</v>
      </c>
      <c r="I222" s="1" t="s">
        <v>298</v>
      </c>
      <c r="J222" s="1">
        <v>6</v>
      </c>
      <c r="K222" s="1" t="s">
        <v>300</v>
      </c>
      <c r="L222" s="1" t="s">
        <v>305</v>
      </c>
      <c r="M222" s="1">
        <v>1</v>
      </c>
      <c r="N222" s="1">
        <v>0</v>
      </c>
      <c r="O222" s="1">
        <v>44781</v>
      </c>
      <c r="P222" s="1">
        <f>Table1[[#This Row],[Rooms Booked]]/Table1[[#This Row],[Rooms Available]]*100</f>
        <v>6</v>
      </c>
      <c r="Q222" s="1">
        <f>Table1[[#This Row],[Revenue]]/Table1[[#This Row],[Rooms Booked]]</f>
        <v>14927</v>
      </c>
    </row>
    <row r="223" spans="1:17" x14ac:dyDescent="0.25">
      <c r="A223" s="1" t="s">
        <v>19</v>
      </c>
      <c r="B223" s="1" t="s">
        <v>21</v>
      </c>
      <c r="C223" s="1" t="s">
        <v>192</v>
      </c>
      <c r="D223" s="1">
        <v>26268</v>
      </c>
      <c r="E223" s="1" t="s">
        <v>292</v>
      </c>
      <c r="F223" s="1" t="s">
        <v>297</v>
      </c>
      <c r="G223" s="1">
        <v>50</v>
      </c>
      <c r="H223" s="1">
        <v>2</v>
      </c>
      <c r="I223" s="1" t="s">
        <v>298</v>
      </c>
      <c r="J223" s="1">
        <v>1</v>
      </c>
      <c r="K223" s="1" t="s">
        <v>300</v>
      </c>
      <c r="L223" s="1" t="s">
        <v>303</v>
      </c>
      <c r="M223" s="1">
        <v>4</v>
      </c>
      <c r="N223" s="1">
        <v>0</v>
      </c>
      <c r="O223" s="1">
        <v>26268</v>
      </c>
      <c r="P223" s="1">
        <f>Table1[[#This Row],[Rooms Booked]]/Table1[[#This Row],[Rooms Available]]*100</f>
        <v>4</v>
      </c>
      <c r="Q223" s="1">
        <f>Table1[[#This Row],[Revenue]]/Table1[[#This Row],[Rooms Booked]]</f>
        <v>13134</v>
      </c>
    </row>
    <row r="224" spans="1:17" x14ac:dyDescent="0.25">
      <c r="A224" s="1" t="s">
        <v>17</v>
      </c>
      <c r="B224" s="1" t="s">
        <v>21</v>
      </c>
      <c r="C224" s="1" t="s">
        <v>32</v>
      </c>
      <c r="D224" s="1">
        <v>123610</v>
      </c>
      <c r="E224" s="1" t="s">
        <v>291</v>
      </c>
      <c r="F224" s="1" t="s">
        <v>297</v>
      </c>
      <c r="G224" s="1">
        <v>50</v>
      </c>
      <c r="H224" s="1">
        <v>5</v>
      </c>
      <c r="I224" s="1" t="s">
        <v>298</v>
      </c>
      <c r="J224" s="1">
        <v>18</v>
      </c>
      <c r="K224" s="1" t="s">
        <v>301</v>
      </c>
      <c r="L224" s="1" t="s">
        <v>303</v>
      </c>
      <c r="M224" s="1">
        <v>5</v>
      </c>
      <c r="N224" s="1">
        <v>5</v>
      </c>
      <c r="O224" s="1">
        <v>117429.5</v>
      </c>
      <c r="P224" s="1">
        <f>Table1[[#This Row],[Rooms Booked]]/Table1[[#This Row],[Rooms Available]]*100</f>
        <v>10</v>
      </c>
      <c r="Q224" s="1">
        <f>Table1[[#This Row],[Revenue]]/Table1[[#This Row],[Rooms Booked]]</f>
        <v>24722</v>
      </c>
    </row>
    <row r="225" spans="1:17" x14ac:dyDescent="0.25">
      <c r="A225" s="1" t="s">
        <v>17</v>
      </c>
      <c r="B225" s="1" t="s">
        <v>23</v>
      </c>
      <c r="C225" s="1" t="s">
        <v>148</v>
      </c>
      <c r="D225" s="1">
        <v>12772</v>
      </c>
      <c r="E225" s="1" t="s">
        <v>291</v>
      </c>
      <c r="F225" s="1" t="s">
        <v>296</v>
      </c>
      <c r="G225" s="1">
        <v>50</v>
      </c>
      <c r="H225" s="1">
        <v>2</v>
      </c>
      <c r="I225" s="1" t="s">
        <v>298</v>
      </c>
      <c r="J225" s="1">
        <v>17</v>
      </c>
      <c r="K225" s="1" t="s">
        <v>300</v>
      </c>
      <c r="L225" s="1" t="s">
        <v>304</v>
      </c>
      <c r="M225" s="1">
        <v>3</v>
      </c>
      <c r="N225" s="1">
        <v>10</v>
      </c>
      <c r="O225" s="1">
        <v>11494.8</v>
      </c>
      <c r="P225" s="1">
        <f>Table1[[#This Row],[Rooms Booked]]/Table1[[#This Row],[Rooms Available]]*100</f>
        <v>4</v>
      </c>
      <c r="Q225" s="1">
        <f>Table1[[#This Row],[Revenue]]/Table1[[#This Row],[Rooms Booked]]</f>
        <v>6386</v>
      </c>
    </row>
    <row r="226" spans="1:17" x14ac:dyDescent="0.25">
      <c r="A226" s="1" t="s">
        <v>15</v>
      </c>
      <c r="B226" s="1" t="s">
        <v>22</v>
      </c>
      <c r="C226" s="1" t="s">
        <v>193</v>
      </c>
      <c r="D226" s="1">
        <v>89792</v>
      </c>
      <c r="E226" s="1" t="s">
        <v>294</v>
      </c>
      <c r="F226" s="1" t="s">
        <v>297</v>
      </c>
      <c r="G226" s="1">
        <v>50</v>
      </c>
      <c r="H226" s="1">
        <v>4</v>
      </c>
      <c r="I226" s="1" t="s">
        <v>298</v>
      </c>
      <c r="J226" s="1">
        <v>30</v>
      </c>
      <c r="K226" s="1" t="s">
        <v>301</v>
      </c>
      <c r="L226" s="1" t="s">
        <v>306</v>
      </c>
      <c r="M226" s="1">
        <v>2</v>
      </c>
      <c r="N226" s="1">
        <v>0</v>
      </c>
      <c r="O226" s="1">
        <v>89792</v>
      </c>
      <c r="P226" s="1">
        <f>Table1[[#This Row],[Rooms Booked]]/Table1[[#This Row],[Rooms Available]]*100</f>
        <v>8</v>
      </c>
      <c r="Q226" s="1">
        <f>Table1[[#This Row],[Revenue]]/Table1[[#This Row],[Rooms Booked]]</f>
        <v>22448</v>
      </c>
    </row>
    <row r="227" spans="1:17" x14ac:dyDescent="0.25">
      <c r="A227" s="1" t="s">
        <v>18</v>
      </c>
      <c r="B227" s="1" t="s">
        <v>21</v>
      </c>
      <c r="C227" s="1" t="s">
        <v>115</v>
      </c>
      <c r="D227" s="1">
        <v>280380</v>
      </c>
      <c r="E227" s="1" t="s">
        <v>291</v>
      </c>
      <c r="F227" s="1" t="s">
        <v>297</v>
      </c>
      <c r="G227" s="1">
        <v>50</v>
      </c>
      <c r="H227" s="1">
        <v>5</v>
      </c>
      <c r="I227" s="1" t="s">
        <v>298</v>
      </c>
      <c r="J227" s="1">
        <v>9</v>
      </c>
      <c r="K227" s="1" t="s">
        <v>300</v>
      </c>
      <c r="L227" s="1" t="s">
        <v>303</v>
      </c>
      <c r="M227" s="1">
        <v>2</v>
      </c>
      <c r="N227" s="1">
        <v>0</v>
      </c>
      <c r="O227" s="1">
        <v>280380</v>
      </c>
      <c r="P227" s="1">
        <f>Table1[[#This Row],[Rooms Booked]]/Table1[[#This Row],[Rooms Available]]*100</f>
        <v>10</v>
      </c>
      <c r="Q227" s="1">
        <f>Table1[[#This Row],[Revenue]]/Table1[[#This Row],[Rooms Booked]]</f>
        <v>56076</v>
      </c>
    </row>
    <row r="228" spans="1:17" x14ac:dyDescent="0.25">
      <c r="A228" s="1" t="s">
        <v>15</v>
      </c>
      <c r="B228" s="1" t="s">
        <v>22</v>
      </c>
      <c r="C228" s="1" t="s">
        <v>124</v>
      </c>
      <c r="D228" s="1">
        <v>0</v>
      </c>
      <c r="E228" s="1" t="s">
        <v>293</v>
      </c>
      <c r="F228" s="1" t="s">
        <v>295</v>
      </c>
      <c r="G228" s="1">
        <v>50</v>
      </c>
      <c r="H228" s="1">
        <v>3</v>
      </c>
      <c r="I228" s="1" t="s">
        <v>299</v>
      </c>
      <c r="J228" s="1">
        <v>29</v>
      </c>
      <c r="K228" s="1" t="s">
        <v>301</v>
      </c>
      <c r="L228" s="1" t="s">
        <v>302</v>
      </c>
      <c r="M228" s="1">
        <v>3</v>
      </c>
      <c r="N228" s="1">
        <v>15</v>
      </c>
      <c r="O228" s="1">
        <v>0</v>
      </c>
      <c r="P228" s="1">
        <f>Table1[[#This Row],[Rooms Booked]]/Table1[[#This Row],[Rooms Available]]*100</f>
        <v>6</v>
      </c>
      <c r="Q228" s="1">
        <f>Table1[[#This Row],[Revenue]]/Table1[[#This Row],[Rooms Booked]]</f>
        <v>0</v>
      </c>
    </row>
    <row r="229" spans="1:17" x14ac:dyDescent="0.25">
      <c r="A229" s="1" t="s">
        <v>17</v>
      </c>
      <c r="B229" s="1" t="s">
        <v>21</v>
      </c>
      <c r="C229" s="1" t="s">
        <v>194</v>
      </c>
      <c r="D229" s="1">
        <v>0</v>
      </c>
      <c r="E229" s="1" t="s">
        <v>291</v>
      </c>
      <c r="F229" s="1" t="s">
        <v>295</v>
      </c>
      <c r="G229" s="1">
        <v>50</v>
      </c>
      <c r="H229" s="1">
        <v>2</v>
      </c>
      <c r="I229" s="1" t="s">
        <v>299</v>
      </c>
      <c r="J229" s="1">
        <v>11</v>
      </c>
      <c r="K229" s="1" t="s">
        <v>301</v>
      </c>
      <c r="L229" s="1" t="s">
        <v>306</v>
      </c>
      <c r="M229" s="1">
        <v>1</v>
      </c>
      <c r="N229" s="1">
        <v>15</v>
      </c>
      <c r="O229" s="1">
        <v>0</v>
      </c>
      <c r="P229" s="1">
        <f>Table1[[#This Row],[Rooms Booked]]/Table1[[#This Row],[Rooms Available]]*100</f>
        <v>4</v>
      </c>
      <c r="Q229" s="1">
        <f>Table1[[#This Row],[Revenue]]/Table1[[#This Row],[Rooms Booked]]</f>
        <v>0</v>
      </c>
    </row>
    <row r="230" spans="1:17" x14ac:dyDescent="0.25">
      <c r="A230" s="1" t="s">
        <v>15</v>
      </c>
      <c r="B230" s="1" t="s">
        <v>22</v>
      </c>
      <c r="C230" s="1" t="s">
        <v>54</v>
      </c>
      <c r="D230" s="1">
        <v>37659</v>
      </c>
      <c r="E230" s="1" t="s">
        <v>291</v>
      </c>
      <c r="F230" s="1" t="s">
        <v>297</v>
      </c>
      <c r="G230" s="1">
        <v>50</v>
      </c>
      <c r="H230" s="1">
        <v>1</v>
      </c>
      <c r="I230" s="1" t="s">
        <v>298</v>
      </c>
      <c r="J230" s="1">
        <v>27</v>
      </c>
      <c r="K230" s="1" t="s">
        <v>300</v>
      </c>
      <c r="L230" s="1" t="s">
        <v>304</v>
      </c>
      <c r="M230" s="1">
        <v>3</v>
      </c>
      <c r="N230" s="1">
        <v>0</v>
      </c>
      <c r="O230" s="1">
        <v>37659</v>
      </c>
      <c r="P230" s="1">
        <f>Table1[[#This Row],[Rooms Booked]]/Table1[[#This Row],[Rooms Available]]*100</f>
        <v>2</v>
      </c>
      <c r="Q230" s="1">
        <f>Table1[[#This Row],[Revenue]]/Table1[[#This Row],[Rooms Booked]]</f>
        <v>37659</v>
      </c>
    </row>
    <row r="231" spans="1:17" x14ac:dyDescent="0.25">
      <c r="A231" s="1" t="s">
        <v>17</v>
      </c>
      <c r="B231" s="1" t="s">
        <v>21</v>
      </c>
      <c r="C231" s="1" t="s">
        <v>48</v>
      </c>
      <c r="D231" s="1">
        <v>77160</v>
      </c>
      <c r="E231" s="1" t="s">
        <v>293</v>
      </c>
      <c r="F231" s="1" t="s">
        <v>295</v>
      </c>
      <c r="G231" s="1">
        <v>50</v>
      </c>
      <c r="H231" s="1">
        <v>5</v>
      </c>
      <c r="I231" s="1" t="s">
        <v>298</v>
      </c>
      <c r="J231" s="1">
        <v>9</v>
      </c>
      <c r="K231" s="1" t="s">
        <v>301</v>
      </c>
      <c r="L231" s="1" t="s">
        <v>302</v>
      </c>
      <c r="M231" s="1">
        <v>2</v>
      </c>
      <c r="N231" s="1">
        <v>5</v>
      </c>
      <c r="O231" s="1">
        <v>73302</v>
      </c>
      <c r="P231" s="1">
        <f>Table1[[#This Row],[Rooms Booked]]/Table1[[#This Row],[Rooms Available]]*100</f>
        <v>10</v>
      </c>
      <c r="Q231" s="1">
        <f>Table1[[#This Row],[Revenue]]/Table1[[#This Row],[Rooms Booked]]</f>
        <v>15432</v>
      </c>
    </row>
    <row r="232" spans="1:17" x14ac:dyDescent="0.25">
      <c r="A232" s="1" t="s">
        <v>19</v>
      </c>
      <c r="B232" s="1" t="s">
        <v>22</v>
      </c>
      <c r="C232" s="1" t="s">
        <v>131</v>
      </c>
      <c r="D232" s="1">
        <v>0</v>
      </c>
      <c r="E232" s="1" t="s">
        <v>292</v>
      </c>
      <c r="F232" s="1" t="s">
        <v>295</v>
      </c>
      <c r="G232" s="1">
        <v>50</v>
      </c>
      <c r="H232" s="1">
        <v>5</v>
      </c>
      <c r="I232" s="1" t="s">
        <v>299</v>
      </c>
      <c r="J232" s="1">
        <v>4</v>
      </c>
      <c r="K232" s="1" t="s">
        <v>301</v>
      </c>
      <c r="L232" s="1" t="s">
        <v>303</v>
      </c>
      <c r="M232" s="1">
        <v>5</v>
      </c>
      <c r="N232" s="1">
        <v>10</v>
      </c>
      <c r="O232" s="1">
        <v>0</v>
      </c>
      <c r="P232" s="1">
        <f>Table1[[#This Row],[Rooms Booked]]/Table1[[#This Row],[Rooms Available]]*100</f>
        <v>10</v>
      </c>
      <c r="Q232" s="1">
        <f>Table1[[#This Row],[Revenue]]/Table1[[#This Row],[Rooms Booked]]</f>
        <v>0</v>
      </c>
    </row>
    <row r="233" spans="1:17" x14ac:dyDescent="0.25">
      <c r="A233" s="1" t="s">
        <v>16</v>
      </c>
      <c r="B233" s="1" t="s">
        <v>21</v>
      </c>
      <c r="C233" s="1" t="s">
        <v>195</v>
      </c>
      <c r="D233" s="1">
        <v>0</v>
      </c>
      <c r="E233" s="1" t="s">
        <v>291</v>
      </c>
      <c r="F233" s="1" t="s">
        <v>296</v>
      </c>
      <c r="G233" s="1">
        <v>50</v>
      </c>
      <c r="H233" s="1">
        <v>4</v>
      </c>
      <c r="I233" s="1" t="s">
        <v>299</v>
      </c>
      <c r="J233" s="1">
        <v>6</v>
      </c>
      <c r="K233" s="1" t="s">
        <v>300</v>
      </c>
      <c r="L233" s="1" t="s">
        <v>305</v>
      </c>
      <c r="M233" s="1">
        <v>4</v>
      </c>
      <c r="N233" s="1">
        <v>0</v>
      </c>
      <c r="O233" s="1">
        <v>0</v>
      </c>
      <c r="P233" s="1">
        <f>Table1[[#This Row],[Rooms Booked]]/Table1[[#This Row],[Rooms Available]]*100</f>
        <v>8</v>
      </c>
      <c r="Q233" s="1">
        <f>Table1[[#This Row],[Revenue]]/Table1[[#This Row],[Rooms Booked]]</f>
        <v>0</v>
      </c>
    </row>
    <row r="234" spans="1:17" x14ac:dyDescent="0.25">
      <c r="A234" s="1" t="s">
        <v>19</v>
      </c>
      <c r="B234" s="1" t="s">
        <v>21</v>
      </c>
      <c r="C234" s="1" t="s">
        <v>193</v>
      </c>
      <c r="D234" s="1">
        <v>86874</v>
      </c>
      <c r="E234" s="1" t="s">
        <v>292</v>
      </c>
      <c r="F234" s="1" t="s">
        <v>297</v>
      </c>
      <c r="G234" s="1">
        <v>50</v>
      </c>
      <c r="H234" s="1">
        <v>2</v>
      </c>
      <c r="I234" s="1" t="s">
        <v>298</v>
      </c>
      <c r="J234" s="1">
        <v>26</v>
      </c>
      <c r="K234" s="1" t="s">
        <v>300</v>
      </c>
      <c r="L234" s="1" t="s">
        <v>302</v>
      </c>
      <c r="M234" s="1">
        <v>1</v>
      </c>
      <c r="N234" s="1">
        <v>15</v>
      </c>
      <c r="O234" s="1">
        <v>73842.899999999994</v>
      </c>
      <c r="P234" s="1">
        <f>Table1[[#This Row],[Rooms Booked]]/Table1[[#This Row],[Rooms Available]]*100</f>
        <v>4</v>
      </c>
      <c r="Q234" s="1">
        <f>Table1[[#This Row],[Revenue]]/Table1[[#This Row],[Rooms Booked]]</f>
        <v>43437</v>
      </c>
    </row>
    <row r="235" spans="1:17" x14ac:dyDescent="0.25">
      <c r="A235" s="1" t="s">
        <v>18</v>
      </c>
      <c r="B235" s="1" t="s">
        <v>22</v>
      </c>
      <c r="C235" s="1" t="s">
        <v>87</v>
      </c>
      <c r="D235" s="1">
        <v>65472</v>
      </c>
      <c r="E235" s="1" t="s">
        <v>294</v>
      </c>
      <c r="F235" s="1" t="s">
        <v>296</v>
      </c>
      <c r="G235" s="1">
        <v>50</v>
      </c>
      <c r="H235" s="1">
        <v>3</v>
      </c>
      <c r="I235" s="1" t="s">
        <v>298</v>
      </c>
      <c r="J235" s="1">
        <v>6</v>
      </c>
      <c r="K235" s="1" t="s">
        <v>301</v>
      </c>
      <c r="L235" s="1" t="s">
        <v>306</v>
      </c>
      <c r="M235" s="1">
        <v>2</v>
      </c>
      <c r="N235" s="1">
        <v>10</v>
      </c>
      <c r="O235" s="1">
        <v>58924.800000000003</v>
      </c>
      <c r="P235" s="1">
        <f>Table1[[#This Row],[Rooms Booked]]/Table1[[#This Row],[Rooms Available]]*100</f>
        <v>6</v>
      </c>
      <c r="Q235" s="1">
        <f>Table1[[#This Row],[Revenue]]/Table1[[#This Row],[Rooms Booked]]</f>
        <v>21824</v>
      </c>
    </row>
    <row r="236" spans="1:17" x14ac:dyDescent="0.25">
      <c r="A236" s="1" t="s">
        <v>15</v>
      </c>
      <c r="B236" s="1" t="s">
        <v>22</v>
      </c>
      <c r="C236" s="1" t="s">
        <v>88</v>
      </c>
      <c r="D236" s="1">
        <v>84368</v>
      </c>
      <c r="E236" s="1" t="s">
        <v>292</v>
      </c>
      <c r="F236" s="1" t="s">
        <v>295</v>
      </c>
      <c r="G236" s="1">
        <v>50</v>
      </c>
      <c r="H236" s="1">
        <v>2</v>
      </c>
      <c r="I236" s="1" t="s">
        <v>298</v>
      </c>
      <c r="J236" s="1">
        <v>22</v>
      </c>
      <c r="K236" s="1" t="s">
        <v>301</v>
      </c>
      <c r="L236" s="1" t="s">
        <v>303</v>
      </c>
      <c r="M236" s="1">
        <v>1</v>
      </c>
      <c r="N236" s="1">
        <v>10</v>
      </c>
      <c r="O236" s="1">
        <v>75931.199999999997</v>
      </c>
      <c r="P236" s="1">
        <f>Table1[[#This Row],[Rooms Booked]]/Table1[[#This Row],[Rooms Available]]*100</f>
        <v>4</v>
      </c>
      <c r="Q236" s="1">
        <f>Table1[[#This Row],[Revenue]]/Table1[[#This Row],[Rooms Booked]]</f>
        <v>42184</v>
      </c>
    </row>
    <row r="237" spans="1:17" x14ac:dyDescent="0.25">
      <c r="A237" s="1" t="s">
        <v>18</v>
      </c>
      <c r="B237" s="1" t="s">
        <v>21</v>
      </c>
      <c r="C237" s="1" t="s">
        <v>154</v>
      </c>
      <c r="D237" s="1">
        <v>0</v>
      </c>
      <c r="E237" s="1" t="s">
        <v>292</v>
      </c>
      <c r="F237" s="1" t="s">
        <v>295</v>
      </c>
      <c r="G237" s="1">
        <v>50</v>
      </c>
      <c r="H237" s="1">
        <v>4</v>
      </c>
      <c r="I237" s="1" t="s">
        <v>299</v>
      </c>
      <c r="J237" s="1">
        <v>18</v>
      </c>
      <c r="K237" s="1" t="s">
        <v>301</v>
      </c>
      <c r="L237" s="1" t="s">
        <v>302</v>
      </c>
      <c r="M237" s="1">
        <v>3</v>
      </c>
      <c r="N237" s="1">
        <v>15</v>
      </c>
      <c r="O237" s="1">
        <v>0</v>
      </c>
      <c r="P237" s="1">
        <f>Table1[[#This Row],[Rooms Booked]]/Table1[[#This Row],[Rooms Available]]*100</f>
        <v>8</v>
      </c>
      <c r="Q237" s="1">
        <f>Table1[[#This Row],[Revenue]]/Table1[[#This Row],[Rooms Booked]]</f>
        <v>0</v>
      </c>
    </row>
    <row r="238" spans="1:17" x14ac:dyDescent="0.25">
      <c r="A238" s="1" t="s">
        <v>20</v>
      </c>
      <c r="B238" s="1" t="s">
        <v>21</v>
      </c>
      <c r="C238" s="1" t="s">
        <v>57</v>
      </c>
      <c r="D238" s="1">
        <v>224820</v>
      </c>
      <c r="E238" s="1" t="s">
        <v>294</v>
      </c>
      <c r="F238" s="1" t="s">
        <v>295</v>
      </c>
      <c r="G238" s="1">
        <v>50</v>
      </c>
      <c r="H238" s="1">
        <v>5</v>
      </c>
      <c r="I238" s="1" t="s">
        <v>298</v>
      </c>
      <c r="J238" s="1">
        <v>9</v>
      </c>
      <c r="K238" s="1" t="s">
        <v>300</v>
      </c>
      <c r="L238" s="1" t="s">
        <v>305</v>
      </c>
      <c r="M238" s="1">
        <v>3</v>
      </c>
      <c r="N238" s="1">
        <v>10</v>
      </c>
      <c r="O238" s="1">
        <v>202338</v>
      </c>
      <c r="P238" s="1">
        <f>Table1[[#This Row],[Rooms Booked]]/Table1[[#This Row],[Rooms Available]]*100</f>
        <v>10</v>
      </c>
      <c r="Q238" s="1">
        <f>Table1[[#This Row],[Revenue]]/Table1[[#This Row],[Rooms Booked]]</f>
        <v>44964</v>
      </c>
    </row>
    <row r="239" spans="1:17" x14ac:dyDescent="0.25">
      <c r="A239" s="1" t="s">
        <v>15</v>
      </c>
      <c r="B239" s="1" t="s">
        <v>21</v>
      </c>
      <c r="C239" s="1" t="s">
        <v>196</v>
      </c>
      <c r="D239" s="1">
        <v>4678</v>
      </c>
      <c r="E239" s="1" t="s">
        <v>294</v>
      </c>
      <c r="F239" s="1" t="s">
        <v>295</v>
      </c>
      <c r="G239" s="1">
        <v>50</v>
      </c>
      <c r="H239" s="1">
        <v>1</v>
      </c>
      <c r="I239" s="1" t="s">
        <v>298</v>
      </c>
      <c r="J239" s="1">
        <v>10</v>
      </c>
      <c r="K239" s="1" t="s">
        <v>300</v>
      </c>
      <c r="L239" s="1" t="s">
        <v>306</v>
      </c>
      <c r="M239" s="1">
        <v>2</v>
      </c>
      <c r="N239" s="1">
        <v>0</v>
      </c>
      <c r="O239" s="1">
        <v>4678</v>
      </c>
      <c r="P239" s="1">
        <f>Table1[[#This Row],[Rooms Booked]]/Table1[[#This Row],[Rooms Available]]*100</f>
        <v>2</v>
      </c>
      <c r="Q239" s="1">
        <f>Table1[[#This Row],[Revenue]]/Table1[[#This Row],[Rooms Booked]]</f>
        <v>4678</v>
      </c>
    </row>
    <row r="240" spans="1:17" x14ac:dyDescent="0.25">
      <c r="A240" s="1" t="s">
        <v>15</v>
      </c>
      <c r="B240" s="1" t="s">
        <v>21</v>
      </c>
      <c r="C240" s="1" t="s">
        <v>197</v>
      </c>
      <c r="D240" s="1">
        <v>54040</v>
      </c>
      <c r="E240" s="1" t="s">
        <v>291</v>
      </c>
      <c r="F240" s="1" t="s">
        <v>295</v>
      </c>
      <c r="G240" s="1">
        <v>50</v>
      </c>
      <c r="H240" s="1">
        <v>5</v>
      </c>
      <c r="I240" s="1" t="s">
        <v>298</v>
      </c>
      <c r="J240" s="1">
        <v>4</v>
      </c>
      <c r="K240" s="1" t="s">
        <v>300</v>
      </c>
      <c r="L240" s="1" t="s">
        <v>303</v>
      </c>
      <c r="M240" s="1">
        <v>2</v>
      </c>
      <c r="N240" s="1">
        <v>10</v>
      </c>
      <c r="O240" s="1">
        <v>48636</v>
      </c>
      <c r="P240" s="1">
        <f>Table1[[#This Row],[Rooms Booked]]/Table1[[#This Row],[Rooms Available]]*100</f>
        <v>10</v>
      </c>
      <c r="Q240" s="1">
        <f>Table1[[#This Row],[Revenue]]/Table1[[#This Row],[Rooms Booked]]</f>
        <v>10808</v>
      </c>
    </row>
    <row r="241" spans="1:17" x14ac:dyDescent="0.25">
      <c r="A241" s="1" t="s">
        <v>17</v>
      </c>
      <c r="B241" s="1" t="s">
        <v>22</v>
      </c>
      <c r="C241" s="1" t="s">
        <v>159</v>
      </c>
      <c r="D241" s="1">
        <v>53868</v>
      </c>
      <c r="E241" s="1" t="s">
        <v>294</v>
      </c>
      <c r="F241" s="1" t="s">
        <v>295</v>
      </c>
      <c r="G241" s="1">
        <v>50</v>
      </c>
      <c r="H241" s="1">
        <v>3</v>
      </c>
      <c r="I241" s="1" t="s">
        <v>298</v>
      </c>
      <c r="J241" s="1">
        <v>18</v>
      </c>
      <c r="K241" s="1" t="s">
        <v>301</v>
      </c>
      <c r="L241" s="1" t="s">
        <v>303</v>
      </c>
      <c r="M241" s="1">
        <v>4</v>
      </c>
      <c r="N241" s="1">
        <v>0</v>
      </c>
      <c r="O241" s="1">
        <v>53868</v>
      </c>
      <c r="P241" s="1">
        <f>Table1[[#This Row],[Rooms Booked]]/Table1[[#This Row],[Rooms Available]]*100</f>
        <v>6</v>
      </c>
      <c r="Q241" s="1">
        <f>Table1[[#This Row],[Revenue]]/Table1[[#This Row],[Rooms Booked]]</f>
        <v>17956</v>
      </c>
    </row>
    <row r="242" spans="1:17" x14ac:dyDescent="0.25">
      <c r="A242" s="1" t="s">
        <v>17</v>
      </c>
      <c r="B242" s="1" t="s">
        <v>21</v>
      </c>
      <c r="C242" s="1" t="s">
        <v>35</v>
      </c>
      <c r="D242" s="1">
        <v>39560</v>
      </c>
      <c r="E242" s="1" t="s">
        <v>291</v>
      </c>
      <c r="F242" s="1" t="s">
        <v>295</v>
      </c>
      <c r="G242" s="1">
        <v>50</v>
      </c>
      <c r="H242" s="1">
        <v>4</v>
      </c>
      <c r="I242" s="1" t="s">
        <v>298</v>
      </c>
      <c r="J242" s="1">
        <v>19</v>
      </c>
      <c r="K242" s="1" t="s">
        <v>300</v>
      </c>
      <c r="L242" s="1" t="s">
        <v>303</v>
      </c>
      <c r="M242" s="1">
        <v>5</v>
      </c>
      <c r="N242" s="1">
        <v>0</v>
      </c>
      <c r="O242" s="1">
        <v>39560</v>
      </c>
      <c r="P242" s="1">
        <f>Table1[[#This Row],[Rooms Booked]]/Table1[[#This Row],[Rooms Available]]*100</f>
        <v>8</v>
      </c>
      <c r="Q242" s="1">
        <f>Table1[[#This Row],[Revenue]]/Table1[[#This Row],[Rooms Booked]]</f>
        <v>9890</v>
      </c>
    </row>
    <row r="243" spans="1:17" x14ac:dyDescent="0.25">
      <c r="A243" s="1" t="s">
        <v>15</v>
      </c>
      <c r="B243" s="1" t="s">
        <v>23</v>
      </c>
      <c r="C243" s="1" t="s">
        <v>43</v>
      </c>
      <c r="D243" s="1">
        <v>13254</v>
      </c>
      <c r="E243" s="1" t="s">
        <v>291</v>
      </c>
      <c r="F243" s="1" t="s">
        <v>295</v>
      </c>
      <c r="G243" s="1">
        <v>50</v>
      </c>
      <c r="H243" s="1">
        <v>1</v>
      </c>
      <c r="I243" s="1" t="s">
        <v>298</v>
      </c>
      <c r="J243" s="1">
        <v>1</v>
      </c>
      <c r="K243" s="1" t="s">
        <v>300</v>
      </c>
      <c r="L243" s="1" t="s">
        <v>306</v>
      </c>
      <c r="M243" s="1">
        <v>2</v>
      </c>
      <c r="N243" s="1">
        <v>0</v>
      </c>
      <c r="O243" s="1">
        <v>13254</v>
      </c>
      <c r="P243" s="1">
        <f>Table1[[#This Row],[Rooms Booked]]/Table1[[#This Row],[Rooms Available]]*100</f>
        <v>2</v>
      </c>
      <c r="Q243" s="1">
        <f>Table1[[#This Row],[Revenue]]/Table1[[#This Row],[Rooms Booked]]</f>
        <v>13254</v>
      </c>
    </row>
    <row r="244" spans="1:17" x14ac:dyDescent="0.25">
      <c r="A244" s="1" t="s">
        <v>15</v>
      </c>
      <c r="B244" s="1" t="s">
        <v>21</v>
      </c>
      <c r="C244" s="1" t="s">
        <v>198</v>
      </c>
      <c r="D244" s="1">
        <v>82323</v>
      </c>
      <c r="E244" s="1" t="s">
        <v>294</v>
      </c>
      <c r="F244" s="1" t="s">
        <v>295</v>
      </c>
      <c r="G244" s="1">
        <v>50</v>
      </c>
      <c r="H244" s="1">
        <v>3</v>
      </c>
      <c r="I244" s="1" t="s">
        <v>298</v>
      </c>
      <c r="J244" s="1">
        <v>8</v>
      </c>
      <c r="K244" s="1" t="s">
        <v>301</v>
      </c>
      <c r="L244" s="1" t="s">
        <v>305</v>
      </c>
      <c r="M244" s="1">
        <v>4</v>
      </c>
      <c r="N244" s="1">
        <v>0</v>
      </c>
      <c r="O244" s="1">
        <v>82323</v>
      </c>
      <c r="P244" s="1">
        <f>Table1[[#This Row],[Rooms Booked]]/Table1[[#This Row],[Rooms Available]]*100</f>
        <v>6</v>
      </c>
      <c r="Q244" s="1">
        <f>Table1[[#This Row],[Revenue]]/Table1[[#This Row],[Rooms Booked]]</f>
        <v>27441</v>
      </c>
    </row>
    <row r="245" spans="1:17" x14ac:dyDescent="0.25">
      <c r="A245" s="1" t="s">
        <v>17</v>
      </c>
      <c r="B245" s="1" t="s">
        <v>21</v>
      </c>
      <c r="C245" s="1" t="s">
        <v>59</v>
      </c>
      <c r="D245" s="1">
        <v>16311</v>
      </c>
      <c r="E245" s="1" t="s">
        <v>292</v>
      </c>
      <c r="F245" s="1" t="s">
        <v>296</v>
      </c>
      <c r="G245" s="1">
        <v>50</v>
      </c>
      <c r="H245" s="1">
        <v>3</v>
      </c>
      <c r="I245" s="1" t="s">
        <v>298</v>
      </c>
      <c r="J245" s="1">
        <v>2</v>
      </c>
      <c r="K245" s="1" t="s">
        <v>301</v>
      </c>
      <c r="L245" s="1" t="s">
        <v>305</v>
      </c>
      <c r="M245" s="1">
        <v>1</v>
      </c>
      <c r="N245" s="1">
        <v>5</v>
      </c>
      <c r="O245" s="1">
        <v>15495.45</v>
      </c>
      <c r="P245" s="1">
        <f>Table1[[#This Row],[Rooms Booked]]/Table1[[#This Row],[Rooms Available]]*100</f>
        <v>6</v>
      </c>
      <c r="Q245" s="1">
        <f>Table1[[#This Row],[Revenue]]/Table1[[#This Row],[Rooms Booked]]</f>
        <v>5437</v>
      </c>
    </row>
    <row r="246" spans="1:17" x14ac:dyDescent="0.25">
      <c r="A246" s="1" t="s">
        <v>20</v>
      </c>
      <c r="B246" s="1" t="s">
        <v>23</v>
      </c>
      <c r="C246" s="1" t="s">
        <v>199</v>
      </c>
      <c r="D246" s="1">
        <v>29996</v>
      </c>
      <c r="E246" s="1" t="s">
        <v>293</v>
      </c>
      <c r="F246" s="1" t="s">
        <v>295</v>
      </c>
      <c r="G246" s="1">
        <v>50</v>
      </c>
      <c r="H246" s="1">
        <v>2</v>
      </c>
      <c r="I246" s="1" t="s">
        <v>298</v>
      </c>
      <c r="J246" s="1">
        <v>4</v>
      </c>
      <c r="K246" s="1" t="s">
        <v>300</v>
      </c>
      <c r="L246" s="1" t="s">
        <v>303</v>
      </c>
      <c r="M246" s="1">
        <v>4</v>
      </c>
      <c r="N246" s="1">
        <v>0</v>
      </c>
      <c r="O246" s="1">
        <v>29996</v>
      </c>
      <c r="P246" s="1">
        <f>Table1[[#This Row],[Rooms Booked]]/Table1[[#This Row],[Rooms Available]]*100</f>
        <v>4</v>
      </c>
      <c r="Q246" s="1">
        <f>Table1[[#This Row],[Revenue]]/Table1[[#This Row],[Rooms Booked]]</f>
        <v>14998</v>
      </c>
    </row>
    <row r="247" spans="1:17" x14ac:dyDescent="0.25">
      <c r="A247" s="1" t="s">
        <v>16</v>
      </c>
      <c r="B247" s="1" t="s">
        <v>22</v>
      </c>
      <c r="C247" s="1" t="s">
        <v>89</v>
      </c>
      <c r="D247" s="1">
        <v>42732</v>
      </c>
      <c r="E247" s="1" t="s">
        <v>292</v>
      </c>
      <c r="F247" s="1" t="s">
        <v>295</v>
      </c>
      <c r="G247" s="1">
        <v>50</v>
      </c>
      <c r="H247" s="1">
        <v>2</v>
      </c>
      <c r="I247" s="1" t="s">
        <v>298</v>
      </c>
      <c r="J247" s="1">
        <v>24</v>
      </c>
      <c r="K247" s="1" t="s">
        <v>300</v>
      </c>
      <c r="L247" s="1" t="s">
        <v>306</v>
      </c>
      <c r="M247" s="1">
        <v>2</v>
      </c>
      <c r="N247" s="1">
        <v>0</v>
      </c>
      <c r="O247" s="1">
        <v>42732</v>
      </c>
      <c r="P247" s="1">
        <f>Table1[[#This Row],[Rooms Booked]]/Table1[[#This Row],[Rooms Available]]*100</f>
        <v>4</v>
      </c>
      <c r="Q247" s="1">
        <f>Table1[[#This Row],[Revenue]]/Table1[[#This Row],[Rooms Booked]]</f>
        <v>21366</v>
      </c>
    </row>
    <row r="248" spans="1:17" x14ac:dyDescent="0.25">
      <c r="A248" s="1" t="s">
        <v>18</v>
      </c>
      <c r="B248" s="1" t="s">
        <v>21</v>
      </c>
      <c r="C248" s="1" t="s">
        <v>200</v>
      </c>
      <c r="D248" s="1">
        <v>10968</v>
      </c>
      <c r="E248" s="1" t="s">
        <v>293</v>
      </c>
      <c r="F248" s="1" t="s">
        <v>295</v>
      </c>
      <c r="G248" s="1">
        <v>50</v>
      </c>
      <c r="H248" s="1">
        <v>1</v>
      </c>
      <c r="I248" s="1" t="s">
        <v>298</v>
      </c>
      <c r="J248" s="1">
        <v>6</v>
      </c>
      <c r="K248" s="1" t="s">
        <v>300</v>
      </c>
      <c r="L248" s="1" t="s">
        <v>306</v>
      </c>
      <c r="M248" s="1">
        <v>2</v>
      </c>
      <c r="N248" s="1">
        <v>10</v>
      </c>
      <c r="O248" s="1">
        <v>9871.2000000000007</v>
      </c>
      <c r="P248" s="1">
        <f>Table1[[#This Row],[Rooms Booked]]/Table1[[#This Row],[Rooms Available]]*100</f>
        <v>2</v>
      </c>
      <c r="Q248" s="1">
        <f>Table1[[#This Row],[Revenue]]/Table1[[#This Row],[Rooms Booked]]</f>
        <v>10968</v>
      </c>
    </row>
    <row r="249" spans="1:17" x14ac:dyDescent="0.25">
      <c r="A249" s="1" t="s">
        <v>17</v>
      </c>
      <c r="B249" s="1" t="s">
        <v>22</v>
      </c>
      <c r="C249" s="1" t="s">
        <v>192</v>
      </c>
      <c r="D249" s="1">
        <v>26116</v>
      </c>
      <c r="E249" s="1" t="s">
        <v>291</v>
      </c>
      <c r="F249" s="1" t="s">
        <v>297</v>
      </c>
      <c r="G249" s="1">
        <v>50</v>
      </c>
      <c r="H249" s="1">
        <v>4</v>
      </c>
      <c r="I249" s="1" t="s">
        <v>298</v>
      </c>
      <c r="J249" s="1">
        <v>15</v>
      </c>
      <c r="K249" s="1" t="s">
        <v>301</v>
      </c>
      <c r="L249" s="1" t="s">
        <v>306</v>
      </c>
      <c r="M249" s="1">
        <v>3</v>
      </c>
      <c r="N249" s="1">
        <v>5</v>
      </c>
      <c r="O249" s="1">
        <v>24810.2</v>
      </c>
      <c r="P249" s="1">
        <f>Table1[[#This Row],[Rooms Booked]]/Table1[[#This Row],[Rooms Available]]*100</f>
        <v>8</v>
      </c>
      <c r="Q249" s="1">
        <f>Table1[[#This Row],[Revenue]]/Table1[[#This Row],[Rooms Booked]]</f>
        <v>6529</v>
      </c>
    </row>
    <row r="250" spans="1:17" x14ac:dyDescent="0.25">
      <c r="A250" s="1" t="s">
        <v>20</v>
      </c>
      <c r="B250" s="1" t="s">
        <v>23</v>
      </c>
      <c r="C250" s="1" t="s">
        <v>162</v>
      </c>
      <c r="D250" s="1">
        <v>105795</v>
      </c>
      <c r="E250" s="1" t="s">
        <v>291</v>
      </c>
      <c r="F250" s="1" t="s">
        <v>295</v>
      </c>
      <c r="G250" s="1">
        <v>50</v>
      </c>
      <c r="H250" s="1">
        <v>3</v>
      </c>
      <c r="I250" s="1" t="s">
        <v>298</v>
      </c>
      <c r="J250" s="1">
        <v>17</v>
      </c>
      <c r="K250" s="1" t="s">
        <v>301</v>
      </c>
      <c r="L250" s="1" t="s">
        <v>305</v>
      </c>
      <c r="M250" s="1">
        <v>4</v>
      </c>
      <c r="N250" s="1">
        <v>5</v>
      </c>
      <c r="O250" s="1">
        <v>100505.25</v>
      </c>
      <c r="P250" s="1">
        <f>Table1[[#This Row],[Rooms Booked]]/Table1[[#This Row],[Rooms Available]]*100</f>
        <v>6</v>
      </c>
      <c r="Q250" s="1">
        <f>Table1[[#This Row],[Revenue]]/Table1[[#This Row],[Rooms Booked]]</f>
        <v>35265</v>
      </c>
    </row>
    <row r="251" spans="1:17" x14ac:dyDescent="0.25">
      <c r="A251" s="1" t="s">
        <v>18</v>
      </c>
      <c r="B251" s="1" t="s">
        <v>23</v>
      </c>
      <c r="C251" s="1" t="s">
        <v>100</v>
      </c>
      <c r="D251" s="1">
        <v>54099</v>
      </c>
      <c r="E251" s="1" t="s">
        <v>291</v>
      </c>
      <c r="F251" s="1" t="s">
        <v>296</v>
      </c>
      <c r="G251" s="1">
        <v>50</v>
      </c>
      <c r="H251" s="1">
        <v>3</v>
      </c>
      <c r="I251" s="1" t="s">
        <v>298</v>
      </c>
      <c r="J251" s="1">
        <v>5</v>
      </c>
      <c r="K251" s="1" t="s">
        <v>301</v>
      </c>
      <c r="L251" s="1" t="s">
        <v>303</v>
      </c>
      <c r="M251" s="1">
        <v>5</v>
      </c>
      <c r="N251" s="1">
        <v>5</v>
      </c>
      <c r="O251" s="1">
        <v>51394.05</v>
      </c>
      <c r="P251" s="1">
        <f>Table1[[#This Row],[Rooms Booked]]/Table1[[#This Row],[Rooms Available]]*100</f>
        <v>6</v>
      </c>
      <c r="Q251" s="1">
        <f>Table1[[#This Row],[Revenue]]/Table1[[#This Row],[Rooms Booked]]</f>
        <v>18033</v>
      </c>
    </row>
    <row r="252" spans="1:17" x14ac:dyDescent="0.25">
      <c r="A252" s="1" t="s">
        <v>19</v>
      </c>
      <c r="B252" s="1" t="s">
        <v>22</v>
      </c>
      <c r="C252" s="1" t="s">
        <v>201</v>
      </c>
      <c r="D252" s="1">
        <v>0</v>
      </c>
      <c r="E252" s="1" t="s">
        <v>292</v>
      </c>
      <c r="F252" s="1" t="s">
        <v>296</v>
      </c>
      <c r="G252" s="1">
        <v>50</v>
      </c>
      <c r="H252" s="1">
        <v>1</v>
      </c>
      <c r="I252" s="1" t="s">
        <v>299</v>
      </c>
      <c r="J252" s="1">
        <v>7</v>
      </c>
      <c r="K252" s="1" t="s">
        <v>300</v>
      </c>
      <c r="L252" s="1" t="s">
        <v>304</v>
      </c>
      <c r="M252" s="1">
        <v>2</v>
      </c>
      <c r="N252" s="1">
        <v>0</v>
      </c>
      <c r="O252" s="1">
        <v>0</v>
      </c>
      <c r="P252" s="1">
        <f>Table1[[#This Row],[Rooms Booked]]/Table1[[#This Row],[Rooms Available]]*100</f>
        <v>2</v>
      </c>
      <c r="Q252" s="1">
        <f>Table1[[#This Row],[Revenue]]/Table1[[#This Row],[Rooms Booked]]</f>
        <v>0</v>
      </c>
    </row>
    <row r="253" spans="1:17" x14ac:dyDescent="0.25">
      <c r="A253" s="1" t="s">
        <v>18</v>
      </c>
      <c r="B253" s="1" t="s">
        <v>21</v>
      </c>
      <c r="C253" s="1" t="s">
        <v>202</v>
      </c>
      <c r="D253" s="1">
        <v>98640</v>
      </c>
      <c r="E253" s="1" t="s">
        <v>294</v>
      </c>
      <c r="F253" s="1" t="s">
        <v>295</v>
      </c>
      <c r="G253" s="1">
        <v>50</v>
      </c>
      <c r="H253" s="1">
        <v>4</v>
      </c>
      <c r="I253" s="1" t="s">
        <v>298</v>
      </c>
      <c r="J253" s="1">
        <v>20</v>
      </c>
      <c r="K253" s="1" t="s">
        <v>301</v>
      </c>
      <c r="L253" s="1" t="s">
        <v>302</v>
      </c>
      <c r="M253" s="1">
        <v>1</v>
      </c>
      <c r="N253" s="1">
        <v>10</v>
      </c>
      <c r="O253" s="1">
        <v>88776</v>
      </c>
      <c r="P253" s="1">
        <f>Table1[[#This Row],[Rooms Booked]]/Table1[[#This Row],[Rooms Available]]*100</f>
        <v>8</v>
      </c>
      <c r="Q253" s="1">
        <f>Table1[[#This Row],[Revenue]]/Table1[[#This Row],[Rooms Booked]]</f>
        <v>24660</v>
      </c>
    </row>
    <row r="254" spans="1:17" x14ac:dyDescent="0.25">
      <c r="A254" s="1" t="s">
        <v>17</v>
      </c>
      <c r="B254" s="1" t="s">
        <v>22</v>
      </c>
      <c r="C254" s="1" t="s">
        <v>203</v>
      </c>
      <c r="D254" s="1">
        <v>0</v>
      </c>
      <c r="E254" s="1" t="s">
        <v>292</v>
      </c>
      <c r="F254" s="1" t="s">
        <v>296</v>
      </c>
      <c r="G254" s="1">
        <v>50</v>
      </c>
      <c r="H254" s="1">
        <v>5</v>
      </c>
      <c r="I254" s="1" t="s">
        <v>299</v>
      </c>
      <c r="J254" s="1">
        <v>21</v>
      </c>
      <c r="K254" s="1" t="s">
        <v>300</v>
      </c>
      <c r="L254" s="1" t="s">
        <v>306</v>
      </c>
      <c r="M254" s="1">
        <v>5</v>
      </c>
      <c r="N254" s="1">
        <v>0</v>
      </c>
      <c r="O254" s="1">
        <v>0</v>
      </c>
      <c r="P254" s="1">
        <f>Table1[[#This Row],[Rooms Booked]]/Table1[[#This Row],[Rooms Available]]*100</f>
        <v>10</v>
      </c>
      <c r="Q254" s="1">
        <f>Table1[[#This Row],[Revenue]]/Table1[[#This Row],[Rooms Booked]]</f>
        <v>0</v>
      </c>
    </row>
    <row r="255" spans="1:17" x14ac:dyDescent="0.25">
      <c r="A255" s="1" t="s">
        <v>15</v>
      </c>
      <c r="B255" s="1" t="s">
        <v>23</v>
      </c>
      <c r="C255" s="1" t="s">
        <v>44</v>
      </c>
      <c r="D255" s="1">
        <v>69804</v>
      </c>
      <c r="E255" s="1" t="s">
        <v>294</v>
      </c>
      <c r="F255" s="1" t="s">
        <v>296</v>
      </c>
      <c r="G255" s="1">
        <v>50</v>
      </c>
      <c r="H255" s="1">
        <v>2</v>
      </c>
      <c r="I255" s="1" t="s">
        <v>298</v>
      </c>
      <c r="J255" s="1">
        <v>26</v>
      </c>
      <c r="K255" s="1" t="s">
        <v>300</v>
      </c>
      <c r="L255" s="1" t="s">
        <v>302</v>
      </c>
      <c r="M255" s="1">
        <v>3</v>
      </c>
      <c r="N255" s="1">
        <v>0</v>
      </c>
      <c r="O255" s="1">
        <v>69804</v>
      </c>
      <c r="P255" s="1">
        <f>Table1[[#This Row],[Rooms Booked]]/Table1[[#This Row],[Rooms Available]]*100</f>
        <v>4</v>
      </c>
      <c r="Q255" s="1">
        <f>Table1[[#This Row],[Revenue]]/Table1[[#This Row],[Rooms Booked]]</f>
        <v>34902</v>
      </c>
    </row>
    <row r="256" spans="1:17" x14ac:dyDescent="0.25">
      <c r="A256" s="1" t="s">
        <v>16</v>
      </c>
      <c r="B256" s="1" t="s">
        <v>22</v>
      </c>
      <c r="C256" s="1" t="s">
        <v>204</v>
      </c>
      <c r="D256" s="1">
        <v>28232</v>
      </c>
      <c r="E256" s="1" t="s">
        <v>292</v>
      </c>
      <c r="F256" s="1" t="s">
        <v>295</v>
      </c>
      <c r="G256" s="1">
        <v>50</v>
      </c>
      <c r="H256" s="1">
        <v>1</v>
      </c>
      <c r="I256" s="1" t="s">
        <v>298</v>
      </c>
      <c r="J256" s="1">
        <v>30</v>
      </c>
      <c r="K256" s="1" t="s">
        <v>300</v>
      </c>
      <c r="L256" s="1" t="s">
        <v>304</v>
      </c>
      <c r="M256" s="1">
        <v>5</v>
      </c>
      <c r="N256" s="1">
        <v>0</v>
      </c>
      <c r="O256" s="1">
        <v>28232</v>
      </c>
      <c r="P256" s="1">
        <f>Table1[[#This Row],[Rooms Booked]]/Table1[[#This Row],[Rooms Available]]*100</f>
        <v>2</v>
      </c>
      <c r="Q256" s="1">
        <f>Table1[[#This Row],[Revenue]]/Table1[[#This Row],[Rooms Booked]]</f>
        <v>28232</v>
      </c>
    </row>
    <row r="257" spans="1:17" x14ac:dyDescent="0.25">
      <c r="A257" s="1" t="s">
        <v>18</v>
      </c>
      <c r="B257" s="1" t="s">
        <v>23</v>
      </c>
      <c r="C257" s="1" t="s">
        <v>63</v>
      </c>
      <c r="D257" s="1">
        <v>18536</v>
      </c>
      <c r="E257" s="1" t="s">
        <v>293</v>
      </c>
      <c r="F257" s="1" t="s">
        <v>296</v>
      </c>
      <c r="G257" s="1">
        <v>50</v>
      </c>
      <c r="H257" s="1">
        <v>4</v>
      </c>
      <c r="I257" s="1" t="s">
        <v>298</v>
      </c>
      <c r="J257" s="1">
        <v>27</v>
      </c>
      <c r="K257" s="1" t="s">
        <v>300</v>
      </c>
      <c r="L257" s="1" t="s">
        <v>302</v>
      </c>
      <c r="M257" s="1">
        <v>4</v>
      </c>
      <c r="N257" s="1">
        <v>10</v>
      </c>
      <c r="O257" s="1">
        <v>16682.400000000001</v>
      </c>
      <c r="P257" s="1">
        <f>Table1[[#This Row],[Rooms Booked]]/Table1[[#This Row],[Rooms Available]]*100</f>
        <v>8</v>
      </c>
      <c r="Q257" s="1">
        <f>Table1[[#This Row],[Revenue]]/Table1[[#This Row],[Rooms Booked]]</f>
        <v>4634</v>
      </c>
    </row>
    <row r="258" spans="1:17" x14ac:dyDescent="0.25">
      <c r="A258" s="1" t="s">
        <v>17</v>
      </c>
      <c r="B258" s="1" t="s">
        <v>22</v>
      </c>
      <c r="C258" s="1" t="s">
        <v>205</v>
      </c>
      <c r="D258" s="1">
        <v>135420</v>
      </c>
      <c r="E258" s="1" t="s">
        <v>292</v>
      </c>
      <c r="F258" s="1" t="s">
        <v>296</v>
      </c>
      <c r="G258" s="1">
        <v>50</v>
      </c>
      <c r="H258" s="1">
        <v>4</v>
      </c>
      <c r="I258" s="1" t="s">
        <v>298</v>
      </c>
      <c r="J258" s="1">
        <v>4</v>
      </c>
      <c r="K258" s="1" t="s">
        <v>301</v>
      </c>
      <c r="L258" s="1" t="s">
        <v>303</v>
      </c>
      <c r="M258" s="1">
        <v>3</v>
      </c>
      <c r="N258" s="1">
        <v>10</v>
      </c>
      <c r="O258" s="1">
        <v>121878</v>
      </c>
      <c r="P258" s="1">
        <f>Table1[[#This Row],[Rooms Booked]]/Table1[[#This Row],[Rooms Available]]*100</f>
        <v>8</v>
      </c>
      <c r="Q258" s="1">
        <f>Table1[[#This Row],[Revenue]]/Table1[[#This Row],[Rooms Booked]]</f>
        <v>33855</v>
      </c>
    </row>
    <row r="259" spans="1:17" x14ac:dyDescent="0.25">
      <c r="A259" s="1" t="s">
        <v>15</v>
      </c>
      <c r="B259" s="1" t="s">
        <v>22</v>
      </c>
      <c r="C259" s="1" t="s">
        <v>206</v>
      </c>
      <c r="D259" s="1">
        <v>134328</v>
      </c>
      <c r="E259" s="1" t="s">
        <v>293</v>
      </c>
      <c r="F259" s="1" t="s">
        <v>295</v>
      </c>
      <c r="G259" s="1">
        <v>50</v>
      </c>
      <c r="H259" s="1">
        <v>4</v>
      </c>
      <c r="I259" s="1" t="s">
        <v>298</v>
      </c>
      <c r="J259" s="1">
        <v>16</v>
      </c>
      <c r="K259" s="1" t="s">
        <v>301</v>
      </c>
      <c r="L259" s="1" t="s">
        <v>305</v>
      </c>
      <c r="M259" s="1">
        <v>1</v>
      </c>
      <c r="N259" s="1">
        <v>15</v>
      </c>
      <c r="O259" s="1">
        <v>114178.8</v>
      </c>
      <c r="P259" s="1">
        <f>Table1[[#This Row],[Rooms Booked]]/Table1[[#This Row],[Rooms Available]]*100</f>
        <v>8</v>
      </c>
      <c r="Q259" s="1">
        <f>Table1[[#This Row],[Revenue]]/Table1[[#This Row],[Rooms Booked]]</f>
        <v>33582</v>
      </c>
    </row>
    <row r="260" spans="1:17" x14ac:dyDescent="0.25">
      <c r="A260" s="1" t="s">
        <v>18</v>
      </c>
      <c r="B260" s="1" t="s">
        <v>21</v>
      </c>
      <c r="C260" s="1" t="s">
        <v>207</v>
      </c>
      <c r="D260" s="1">
        <v>19698</v>
      </c>
      <c r="E260" s="1" t="s">
        <v>291</v>
      </c>
      <c r="F260" s="1" t="s">
        <v>296</v>
      </c>
      <c r="G260" s="1">
        <v>50</v>
      </c>
      <c r="H260" s="1">
        <v>1</v>
      </c>
      <c r="I260" s="1" t="s">
        <v>298</v>
      </c>
      <c r="J260" s="1">
        <v>5</v>
      </c>
      <c r="K260" s="1" t="s">
        <v>301</v>
      </c>
      <c r="L260" s="1" t="s">
        <v>303</v>
      </c>
      <c r="M260" s="1">
        <v>1</v>
      </c>
      <c r="N260" s="1">
        <v>15</v>
      </c>
      <c r="O260" s="1">
        <v>16743.3</v>
      </c>
      <c r="P260" s="1">
        <f>Table1[[#This Row],[Rooms Booked]]/Table1[[#This Row],[Rooms Available]]*100</f>
        <v>2</v>
      </c>
      <c r="Q260" s="1">
        <f>Table1[[#This Row],[Revenue]]/Table1[[#This Row],[Rooms Booked]]</f>
        <v>19698</v>
      </c>
    </row>
    <row r="261" spans="1:17" x14ac:dyDescent="0.25">
      <c r="A261" s="1" t="s">
        <v>18</v>
      </c>
      <c r="B261" s="1" t="s">
        <v>22</v>
      </c>
      <c r="C261" s="1" t="s">
        <v>110</v>
      </c>
      <c r="D261" s="1">
        <v>64415</v>
      </c>
      <c r="E261" s="1" t="s">
        <v>291</v>
      </c>
      <c r="F261" s="1" t="s">
        <v>297</v>
      </c>
      <c r="G261" s="1">
        <v>50</v>
      </c>
      <c r="H261" s="1">
        <v>5</v>
      </c>
      <c r="I261" s="1" t="s">
        <v>298</v>
      </c>
      <c r="J261" s="1">
        <v>3</v>
      </c>
      <c r="K261" s="1" t="s">
        <v>301</v>
      </c>
      <c r="L261" s="1" t="s">
        <v>304</v>
      </c>
      <c r="M261" s="1">
        <v>2</v>
      </c>
      <c r="N261" s="1">
        <v>5</v>
      </c>
      <c r="O261" s="1">
        <v>61194.25</v>
      </c>
      <c r="P261" s="1">
        <f>Table1[[#This Row],[Rooms Booked]]/Table1[[#This Row],[Rooms Available]]*100</f>
        <v>10</v>
      </c>
      <c r="Q261" s="1">
        <f>Table1[[#This Row],[Revenue]]/Table1[[#This Row],[Rooms Booked]]</f>
        <v>12883</v>
      </c>
    </row>
    <row r="262" spans="1:17" x14ac:dyDescent="0.25">
      <c r="A262" s="1" t="s">
        <v>20</v>
      </c>
      <c r="B262" s="1" t="s">
        <v>21</v>
      </c>
      <c r="C262" s="1" t="s">
        <v>208</v>
      </c>
      <c r="D262" s="1">
        <v>15256</v>
      </c>
      <c r="E262" s="1" t="s">
        <v>291</v>
      </c>
      <c r="F262" s="1" t="s">
        <v>295</v>
      </c>
      <c r="G262" s="1">
        <v>50</v>
      </c>
      <c r="H262" s="1">
        <v>1</v>
      </c>
      <c r="I262" s="1" t="s">
        <v>298</v>
      </c>
      <c r="J262" s="1">
        <v>28</v>
      </c>
      <c r="K262" s="1" t="s">
        <v>300</v>
      </c>
      <c r="L262" s="1" t="s">
        <v>303</v>
      </c>
      <c r="M262" s="1">
        <v>4</v>
      </c>
      <c r="N262" s="1">
        <v>0</v>
      </c>
      <c r="O262" s="1">
        <v>15256</v>
      </c>
      <c r="P262" s="1">
        <f>Table1[[#This Row],[Rooms Booked]]/Table1[[#This Row],[Rooms Available]]*100</f>
        <v>2</v>
      </c>
      <c r="Q262" s="1">
        <f>Table1[[#This Row],[Revenue]]/Table1[[#This Row],[Rooms Booked]]</f>
        <v>15256</v>
      </c>
    </row>
    <row r="263" spans="1:17" x14ac:dyDescent="0.25">
      <c r="A263" s="1" t="s">
        <v>16</v>
      </c>
      <c r="B263" s="1" t="s">
        <v>21</v>
      </c>
      <c r="C263" s="1" t="s">
        <v>209</v>
      </c>
      <c r="D263" s="1">
        <v>87096</v>
      </c>
      <c r="E263" s="1" t="s">
        <v>294</v>
      </c>
      <c r="F263" s="1" t="s">
        <v>295</v>
      </c>
      <c r="G263" s="1">
        <v>50</v>
      </c>
      <c r="H263" s="1">
        <v>2</v>
      </c>
      <c r="I263" s="1" t="s">
        <v>298</v>
      </c>
      <c r="J263" s="1">
        <v>6</v>
      </c>
      <c r="K263" s="1" t="s">
        <v>300</v>
      </c>
      <c r="L263" s="1" t="s">
        <v>306</v>
      </c>
      <c r="M263" s="1">
        <v>1</v>
      </c>
      <c r="N263" s="1">
        <v>0</v>
      </c>
      <c r="O263" s="1">
        <v>87096</v>
      </c>
      <c r="P263" s="1">
        <f>Table1[[#This Row],[Rooms Booked]]/Table1[[#This Row],[Rooms Available]]*100</f>
        <v>4</v>
      </c>
      <c r="Q263" s="1">
        <f>Table1[[#This Row],[Revenue]]/Table1[[#This Row],[Rooms Booked]]</f>
        <v>43548</v>
      </c>
    </row>
    <row r="264" spans="1:17" x14ac:dyDescent="0.25">
      <c r="A264" s="1" t="s">
        <v>16</v>
      </c>
      <c r="B264" s="1" t="s">
        <v>22</v>
      </c>
      <c r="C264" s="1" t="s">
        <v>89</v>
      </c>
      <c r="D264" s="1">
        <v>58056</v>
      </c>
      <c r="E264" s="1" t="s">
        <v>292</v>
      </c>
      <c r="F264" s="1" t="s">
        <v>295</v>
      </c>
      <c r="G264" s="1">
        <v>50</v>
      </c>
      <c r="H264" s="1">
        <v>4</v>
      </c>
      <c r="I264" s="1" t="s">
        <v>298</v>
      </c>
      <c r="J264" s="1">
        <v>13</v>
      </c>
      <c r="K264" s="1" t="s">
        <v>301</v>
      </c>
      <c r="L264" s="1" t="s">
        <v>304</v>
      </c>
      <c r="M264" s="1">
        <v>1</v>
      </c>
      <c r="N264" s="1">
        <v>5</v>
      </c>
      <c r="O264" s="1">
        <v>55153.2</v>
      </c>
      <c r="P264" s="1">
        <f>Table1[[#This Row],[Rooms Booked]]/Table1[[#This Row],[Rooms Available]]*100</f>
        <v>8</v>
      </c>
      <c r="Q264" s="1">
        <f>Table1[[#This Row],[Revenue]]/Table1[[#This Row],[Rooms Booked]]</f>
        <v>14514</v>
      </c>
    </row>
    <row r="265" spans="1:17" x14ac:dyDescent="0.25">
      <c r="A265" s="1" t="s">
        <v>15</v>
      </c>
      <c r="B265" s="1" t="s">
        <v>23</v>
      </c>
      <c r="C265" s="1" t="s">
        <v>210</v>
      </c>
      <c r="D265" s="1">
        <v>20040</v>
      </c>
      <c r="E265" s="1" t="s">
        <v>294</v>
      </c>
      <c r="F265" s="1" t="s">
        <v>295</v>
      </c>
      <c r="G265" s="1">
        <v>50</v>
      </c>
      <c r="H265" s="1">
        <v>5</v>
      </c>
      <c r="I265" s="1" t="s">
        <v>298</v>
      </c>
      <c r="J265" s="1">
        <v>28</v>
      </c>
      <c r="K265" s="1" t="s">
        <v>301</v>
      </c>
      <c r="L265" s="1" t="s">
        <v>302</v>
      </c>
      <c r="M265" s="1">
        <v>4</v>
      </c>
      <c r="N265" s="1">
        <v>0</v>
      </c>
      <c r="O265" s="1">
        <v>20040</v>
      </c>
      <c r="P265" s="1">
        <f>Table1[[#This Row],[Rooms Booked]]/Table1[[#This Row],[Rooms Available]]*100</f>
        <v>10</v>
      </c>
      <c r="Q265" s="1">
        <f>Table1[[#This Row],[Revenue]]/Table1[[#This Row],[Rooms Booked]]</f>
        <v>4008</v>
      </c>
    </row>
    <row r="266" spans="1:17" x14ac:dyDescent="0.25">
      <c r="A266" s="1" t="s">
        <v>17</v>
      </c>
      <c r="B266" s="1" t="s">
        <v>23</v>
      </c>
      <c r="C266" s="1" t="s">
        <v>211</v>
      </c>
      <c r="D266" s="1">
        <v>87165</v>
      </c>
      <c r="E266" s="1" t="s">
        <v>294</v>
      </c>
      <c r="F266" s="1" t="s">
        <v>295</v>
      </c>
      <c r="G266" s="1">
        <v>50</v>
      </c>
      <c r="H266" s="1">
        <v>3</v>
      </c>
      <c r="I266" s="1" t="s">
        <v>298</v>
      </c>
      <c r="J266" s="1">
        <v>3</v>
      </c>
      <c r="K266" s="1" t="s">
        <v>301</v>
      </c>
      <c r="L266" s="1" t="s">
        <v>303</v>
      </c>
      <c r="M266" s="1">
        <v>1</v>
      </c>
      <c r="N266" s="1">
        <v>5</v>
      </c>
      <c r="O266" s="1">
        <v>82806.75</v>
      </c>
      <c r="P266" s="1">
        <f>Table1[[#This Row],[Rooms Booked]]/Table1[[#This Row],[Rooms Available]]*100</f>
        <v>6</v>
      </c>
      <c r="Q266" s="1">
        <f>Table1[[#This Row],[Revenue]]/Table1[[#This Row],[Rooms Booked]]</f>
        <v>29055</v>
      </c>
    </row>
    <row r="267" spans="1:17" x14ac:dyDescent="0.25">
      <c r="A267" s="1" t="s">
        <v>15</v>
      </c>
      <c r="B267" s="1" t="s">
        <v>23</v>
      </c>
      <c r="C267" s="1" t="s">
        <v>212</v>
      </c>
      <c r="D267" s="1">
        <v>148210</v>
      </c>
      <c r="E267" s="1" t="s">
        <v>291</v>
      </c>
      <c r="F267" s="1" t="s">
        <v>297</v>
      </c>
      <c r="G267" s="1">
        <v>50</v>
      </c>
      <c r="H267" s="1">
        <v>5</v>
      </c>
      <c r="I267" s="1" t="s">
        <v>298</v>
      </c>
      <c r="J267" s="1">
        <v>14</v>
      </c>
      <c r="K267" s="1" t="s">
        <v>301</v>
      </c>
      <c r="L267" s="1" t="s">
        <v>305</v>
      </c>
      <c r="M267" s="1">
        <v>1</v>
      </c>
      <c r="N267" s="1">
        <v>0</v>
      </c>
      <c r="O267" s="1">
        <v>148210</v>
      </c>
      <c r="P267" s="1">
        <f>Table1[[#This Row],[Rooms Booked]]/Table1[[#This Row],[Rooms Available]]*100</f>
        <v>10</v>
      </c>
      <c r="Q267" s="1">
        <f>Table1[[#This Row],[Revenue]]/Table1[[#This Row],[Rooms Booked]]</f>
        <v>29642</v>
      </c>
    </row>
    <row r="268" spans="1:17" x14ac:dyDescent="0.25">
      <c r="A268" s="1" t="s">
        <v>18</v>
      </c>
      <c r="B268" s="1" t="s">
        <v>21</v>
      </c>
      <c r="C268" s="1" t="s">
        <v>213</v>
      </c>
      <c r="D268" s="1">
        <v>87030</v>
      </c>
      <c r="E268" s="1" t="s">
        <v>291</v>
      </c>
      <c r="F268" s="1" t="s">
        <v>296</v>
      </c>
      <c r="G268" s="1">
        <v>50</v>
      </c>
      <c r="H268" s="1">
        <v>5</v>
      </c>
      <c r="I268" s="1" t="s">
        <v>298</v>
      </c>
      <c r="J268" s="1">
        <v>30</v>
      </c>
      <c r="K268" s="1" t="s">
        <v>301</v>
      </c>
      <c r="L268" s="1" t="s">
        <v>306</v>
      </c>
      <c r="M268" s="1">
        <v>1</v>
      </c>
      <c r="N268" s="1">
        <v>10</v>
      </c>
      <c r="O268" s="1">
        <v>78327</v>
      </c>
      <c r="P268" s="1">
        <f>Table1[[#This Row],[Rooms Booked]]/Table1[[#This Row],[Rooms Available]]*100</f>
        <v>10</v>
      </c>
      <c r="Q268" s="1">
        <f>Table1[[#This Row],[Revenue]]/Table1[[#This Row],[Rooms Booked]]</f>
        <v>17406</v>
      </c>
    </row>
    <row r="269" spans="1:17" x14ac:dyDescent="0.25">
      <c r="A269" s="1" t="s">
        <v>17</v>
      </c>
      <c r="B269" s="1" t="s">
        <v>21</v>
      </c>
      <c r="C269" s="1" t="s">
        <v>101</v>
      </c>
      <c r="D269" s="1">
        <v>0</v>
      </c>
      <c r="E269" s="1" t="s">
        <v>294</v>
      </c>
      <c r="F269" s="1" t="s">
        <v>295</v>
      </c>
      <c r="G269" s="1">
        <v>50</v>
      </c>
      <c r="H269" s="1">
        <v>5</v>
      </c>
      <c r="I269" s="1" t="s">
        <v>299</v>
      </c>
      <c r="J269" s="1">
        <v>4</v>
      </c>
      <c r="K269" s="1" t="s">
        <v>301</v>
      </c>
      <c r="L269" s="1" t="s">
        <v>305</v>
      </c>
      <c r="M269" s="1">
        <v>3</v>
      </c>
      <c r="N269" s="1">
        <v>5</v>
      </c>
      <c r="O269" s="1">
        <v>0</v>
      </c>
      <c r="P269" s="1">
        <f>Table1[[#This Row],[Rooms Booked]]/Table1[[#This Row],[Rooms Available]]*100</f>
        <v>10</v>
      </c>
      <c r="Q269" s="1">
        <f>Table1[[#This Row],[Revenue]]/Table1[[#This Row],[Rooms Booked]]</f>
        <v>0</v>
      </c>
    </row>
    <row r="270" spans="1:17" x14ac:dyDescent="0.25">
      <c r="A270" s="1" t="s">
        <v>15</v>
      </c>
      <c r="B270" s="1" t="s">
        <v>21</v>
      </c>
      <c r="C270" s="1" t="s">
        <v>199</v>
      </c>
      <c r="D270" s="1">
        <v>116792</v>
      </c>
      <c r="E270" s="1" t="s">
        <v>294</v>
      </c>
      <c r="F270" s="1" t="s">
        <v>295</v>
      </c>
      <c r="G270" s="1">
        <v>50</v>
      </c>
      <c r="H270" s="1">
        <v>2</v>
      </c>
      <c r="I270" s="1" t="s">
        <v>298</v>
      </c>
      <c r="J270" s="1">
        <v>18</v>
      </c>
      <c r="K270" s="1" t="s">
        <v>301</v>
      </c>
      <c r="L270" s="1" t="s">
        <v>306</v>
      </c>
      <c r="M270" s="1">
        <v>3</v>
      </c>
      <c r="N270" s="1">
        <v>5</v>
      </c>
      <c r="O270" s="1">
        <v>110952.4</v>
      </c>
      <c r="P270" s="1">
        <f>Table1[[#This Row],[Rooms Booked]]/Table1[[#This Row],[Rooms Available]]*100</f>
        <v>4</v>
      </c>
      <c r="Q270" s="1">
        <f>Table1[[#This Row],[Revenue]]/Table1[[#This Row],[Rooms Booked]]</f>
        <v>58396</v>
      </c>
    </row>
    <row r="271" spans="1:17" x14ac:dyDescent="0.25">
      <c r="A271" s="1" t="s">
        <v>15</v>
      </c>
      <c r="B271" s="1" t="s">
        <v>21</v>
      </c>
      <c r="C271" s="1" t="s">
        <v>148</v>
      </c>
      <c r="D271" s="1">
        <v>0</v>
      </c>
      <c r="E271" s="1" t="s">
        <v>291</v>
      </c>
      <c r="F271" s="1" t="s">
        <v>296</v>
      </c>
      <c r="G271" s="1">
        <v>50</v>
      </c>
      <c r="H271" s="1">
        <v>5</v>
      </c>
      <c r="I271" s="1" t="s">
        <v>299</v>
      </c>
      <c r="J271" s="1">
        <v>11</v>
      </c>
      <c r="K271" s="1" t="s">
        <v>300</v>
      </c>
      <c r="L271" s="1" t="s">
        <v>304</v>
      </c>
      <c r="M271" s="1">
        <v>5</v>
      </c>
      <c r="N271" s="1">
        <v>5</v>
      </c>
      <c r="O271" s="1">
        <v>0</v>
      </c>
      <c r="P271" s="1">
        <f>Table1[[#This Row],[Rooms Booked]]/Table1[[#This Row],[Rooms Available]]*100</f>
        <v>10</v>
      </c>
      <c r="Q271" s="1">
        <f>Table1[[#This Row],[Revenue]]/Table1[[#This Row],[Rooms Booked]]</f>
        <v>0</v>
      </c>
    </row>
    <row r="272" spans="1:17" x14ac:dyDescent="0.25">
      <c r="A272" s="1" t="s">
        <v>16</v>
      </c>
      <c r="B272" s="1" t="s">
        <v>23</v>
      </c>
      <c r="C272" s="1" t="s">
        <v>214</v>
      </c>
      <c r="D272" s="1">
        <v>0</v>
      </c>
      <c r="E272" s="1" t="s">
        <v>292</v>
      </c>
      <c r="F272" s="1" t="s">
        <v>297</v>
      </c>
      <c r="G272" s="1">
        <v>50</v>
      </c>
      <c r="H272" s="1">
        <v>2</v>
      </c>
      <c r="I272" s="1" t="s">
        <v>299</v>
      </c>
      <c r="J272" s="1">
        <v>14</v>
      </c>
      <c r="K272" s="1" t="s">
        <v>300</v>
      </c>
      <c r="L272" s="1" t="s">
        <v>305</v>
      </c>
      <c r="M272" s="1">
        <v>2</v>
      </c>
      <c r="N272" s="1">
        <v>15</v>
      </c>
      <c r="O272" s="1">
        <v>0</v>
      </c>
      <c r="P272" s="1">
        <f>Table1[[#This Row],[Rooms Booked]]/Table1[[#This Row],[Rooms Available]]*100</f>
        <v>4</v>
      </c>
      <c r="Q272" s="1">
        <f>Table1[[#This Row],[Revenue]]/Table1[[#This Row],[Rooms Booked]]</f>
        <v>0</v>
      </c>
    </row>
    <row r="273" spans="1:17" x14ac:dyDescent="0.25">
      <c r="A273" s="1" t="s">
        <v>19</v>
      </c>
      <c r="B273" s="1" t="s">
        <v>23</v>
      </c>
      <c r="C273" s="1" t="s">
        <v>35</v>
      </c>
      <c r="D273" s="1">
        <v>48222</v>
      </c>
      <c r="E273" s="1" t="s">
        <v>291</v>
      </c>
      <c r="F273" s="1" t="s">
        <v>295</v>
      </c>
      <c r="G273" s="1">
        <v>50</v>
      </c>
      <c r="H273" s="1">
        <v>2</v>
      </c>
      <c r="I273" s="1" t="s">
        <v>298</v>
      </c>
      <c r="J273" s="1">
        <v>26</v>
      </c>
      <c r="K273" s="1" t="s">
        <v>300</v>
      </c>
      <c r="L273" s="1" t="s">
        <v>304</v>
      </c>
      <c r="M273" s="1">
        <v>3</v>
      </c>
      <c r="N273" s="1">
        <v>5</v>
      </c>
      <c r="O273" s="1">
        <v>45810.9</v>
      </c>
      <c r="P273" s="1">
        <f>Table1[[#This Row],[Rooms Booked]]/Table1[[#This Row],[Rooms Available]]*100</f>
        <v>4</v>
      </c>
      <c r="Q273" s="1">
        <f>Table1[[#This Row],[Revenue]]/Table1[[#This Row],[Rooms Booked]]</f>
        <v>24111</v>
      </c>
    </row>
    <row r="274" spans="1:17" x14ac:dyDescent="0.25">
      <c r="A274" s="1" t="s">
        <v>18</v>
      </c>
      <c r="B274" s="1" t="s">
        <v>23</v>
      </c>
      <c r="C274" s="1" t="s">
        <v>63</v>
      </c>
      <c r="D274" s="1">
        <v>68100</v>
      </c>
      <c r="E274" s="1" t="s">
        <v>293</v>
      </c>
      <c r="F274" s="1" t="s">
        <v>296</v>
      </c>
      <c r="G274" s="1">
        <v>50</v>
      </c>
      <c r="H274" s="1">
        <v>3</v>
      </c>
      <c r="I274" s="1" t="s">
        <v>298</v>
      </c>
      <c r="J274" s="1">
        <v>20</v>
      </c>
      <c r="K274" s="1" t="s">
        <v>301</v>
      </c>
      <c r="L274" s="1" t="s">
        <v>305</v>
      </c>
      <c r="M274" s="1">
        <v>2</v>
      </c>
      <c r="N274" s="1">
        <v>10</v>
      </c>
      <c r="O274" s="1">
        <v>61290</v>
      </c>
      <c r="P274" s="1">
        <f>Table1[[#This Row],[Rooms Booked]]/Table1[[#This Row],[Rooms Available]]*100</f>
        <v>6</v>
      </c>
      <c r="Q274" s="1">
        <f>Table1[[#This Row],[Revenue]]/Table1[[#This Row],[Rooms Booked]]</f>
        <v>22700</v>
      </c>
    </row>
    <row r="275" spans="1:17" x14ac:dyDescent="0.25">
      <c r="A275" s="1" t="s">
        <v>19</v>
      </c>
      <c r="B275" s="1" t="s">
        <v>22</v>
      </c>
      <c r="C275" s="1" t="s">
        <v>201</v>
      </c>
      <c r="D275" s="1">
        <v>34872</v>
      </c>
      <c r="E275" s="1" t="s">
        <v>291</v>
      </c>
      <c r="F275" s="1" t="s">
        <v>296</v>
      </c>
      <c r="G275" s="1">
        <v>50</v>
      </c>
      <c r="H275" s="1">
        <v>2</v>
      </c>
      <c r="I275" s="1" t="s">
        <v>298</v>
      </c>
      <c r="J275" s="1">
        <v>29</v>
      </c>
      <c r="K275" s="1" t="s">
        <v>301</v>
      </c>
      <c r="L275" s="1" t="s">
        <v>305</v>
      </c>
      <c r="M275" s="1">
        <v>2</v>
      </c>
      <c r="N275" s="1">
        <v>15</v>
      </c>
      <c r="O275" s="1">
        <v>29641.200000000001</v>
      </c>
      <c r="P275" s="1">
        <f>Table1[[#This Row],[Rooms Booked]]/Table1[[#This Row],[Rooms Available]]*100</f>
        <v>4</v>
      </c>
      <c r="Q275" s="1">
        <f>Table1[[#This Row],[Revenue]]/Table1[[#This Row],[Rooms Booked]]</f>
        <v>17436</v>
      </c>
    </row>
    <row r="276" spans="1:17" x14ac:dyDescent="0.25">
      <c r="A276" s="1" t="s">
        <v>17</v>
      </c>
      <c r="B276" s="1" t="s">
        <v>22</v>
      </c>
      <c r="C276" s="1" t="s">
        <v>215</v>
      </c>
      <c r="D276" s="1">
        <v>156948</v>
      </c>
      <c r="E276" s="1" t="s">
        <v>294</v>
      </c>
      <c r="F276" s="1" t="s">
        <v>297</v>
      </c>
      <c r="G276" s="1">
        <v>50</v>
      </c>
      <c r="H276" s="1">
        <v>3</v>
      </c>
      <c r="I276" s="1" t="s">
        <v>298</v>
      </c>
      <c r="J276" s="1">
        <v>20</v>
      </c>
      <c r="K276" s="1" t="s">
        <v>301</v>
      </c>
      <c r="L276" s="1" t="s">
        <v>303</v>
      </c>
      <c r="M276" s="1">
        <v>5</v>
      </c>
      <c r="N276" s="1">
        <v>15</v>
      </c>
      <c r="O276" s="1">
        <v>133405.79999999999</v>
      </c>
      <c r="P276" s="1">
        <f>Table1[[#This Row],[Rooms Booked]]/Table1[[#This Row],[Rooms Available]]*100</f>
        <v>6</v>
      </c>
      <c r="Q276" s="1">
        <f>Table1[[#This Row],[Revenue]]/Table1[[#This Row],[Rooms Booked]]</f>
        <v>52316</v>
      </c>
    </row>
    <row r="277" spans="1:17" x14ac:dyDescent="0.25">
      <c r="A277" s="1" t="s">
        <v>15</v>
      </c>
      <c r="B277" s="1" t="s">
        <v>21</v>
      </c>
      <c r="C277" s="1" t="s">
        <v>202</v>
      </c>
      <c r="D277" s="1">
        <v>69695</v>
      </c>
      <c r="E277" s="1" t="s">
        <v>292</v>
      </c>
      <c r="F277" s="1" t="s">
        <v>295</v>
      </c>
      <c r="G277" s="1">
        <v>50</v>
      </c>
      <c r="H277" s="1">
        <v>5</v>
      </c>
      <c r="I277" s="1" t="s">
        <v>298</v>
      </c>
      <c r="J277" s="1">
        <v>1</v>
      </c>
      <c r="K277" s="1" t="s">
        <v>301</v>
      </c>
      <c r="L277" s="1" t="s">
        <v>302</v>
      </c>
      <c r="M277" s="1">
        <v>3</v>
      </c>
      <c r="N277" s="1">
        <v>15</v>
      </c>
      <c r="O277" s="1">
        <v>59240.75</v>
      </c>
      <c r="P277" s="1">
        <f>Table1[[#This Row],[Rooms Booked]]/Table1[[#This Row],[Rooms Available]]*100</f>
        <v>10</v>
      </c>
      <c r="Q277" s="1">
        <f>Table1[[#This Row],[Revenue]]/Table1[[#This Row],[Rooms Booked]]</f>
        <v>13939</v>
      </c>
    </row>
    <row r="278" spans="1:17" x14ac:dyDescent="0.25">
      <c r="A278" s="1" t="s">
        <v>17</v>
      </c>
      <c r="B278" s="1" t="s">
        <v>21</v>
      </c>
      <c r="C278" s="1" t="s">
        <v>140</v>
      </c>
      <c r="D278" s="1">
        <v>0</v>
      </c>
      <c r="E278" s="1" t="s">
        <v>294</v>
      </c>
      <c r="F278" s="1" t="s">
        <v>295</v>
      </c>
      <c r="G278" s="1">
        <v>50</v>
      </c>
      <c r="H278" s="1">
        <v>4</v>
      </c>
      <c r="I278" s="1" t="s">
        <v>299</v>
      </c>
      <c r="J278" s="1">
        <v>7</v>
      </c>
      <c r="K278" s="1" t="s">
        <v>300</v>
      </c>
      <c r="L278" s="1" t="s">
        <v>305</v>
      </c>
      <c r="M278" s="1">
        <v>3</v>
      </c>
      <c r="N278" s="1">
        <v>5</v>
      </c>
      <c r="O278" s="1">
        <v>0</v>
      </c>
      <c r="P278" s="1">
        <f>Table1[[#This Row],[Rooms Booked]]/Table1[[#This Row],[Rooms Available]]*100</f>
        <v>8</v>
      </c>
      <c r="Q278" s="1">
        <f>Table1[[#This Row],[Revenue]]/Table1[[#This Row],[Rooms Booked]]</f>
        <v>0</v>
      </c>
    </row>
    <row r="279" spans="1:17" x14ac:dyDescent="0.25">
      <c r="A279" s="1" t="s">
        <v>18</v>
      </c>
      <c r="B279" s="1" t="s">
        <v>22</v>
      </c>
      <c r="C279" s="1" t="s">
        <v>216</v>
      </c>
      <c r="D279" s="1">
        <v>147890</v>
      </c>
      <c r="E279" s="1" t="s">
        <v>292</v>
      </c>
      <c r="F279" s="1" t="s">
        <v>295</v>
      </c>
      <c r="G279" s="1">
        <v>50</v>
      </c>
      <c r="H279" s="1">
        <v>5</v>
      </c>
      <c r="I279" s="1" t="s">
        <v>298</v>
      </c>
      <c r="J279" s="1">
        <v>3</v>
      </c>
      <c r="K279" s="1" t="s">
        <v>301</v>
      </c>
      <c r="L279" s="1" t="s">
        <v>305</v>
      </c>
      <c r="M279" s="1">
        <v>1</v>
      </c>
      <c r="N279" s="1">
        <v>5</v>
      </c>
      <c r="O279" s="1">
        <v>140495.5</v>
      </c>
      <c r="P279" s="1">
        <f>Table1[[#This Row],[Rooms Booked]]/Table1[[#This Row],[Rooms Available]]*100</f>
        <v>10</v>
      </c>
      <c r="Q279" s="1">
        <f>Table1[[#This Row],[Revenue]]/Table1[[#This Row],[Rooms Booked]]</f>
        <v>29578</v>
      </c>
    </row>
    <row r="280" spans="1:17" x14ac:dyDescent="0.25">
      <c r="A280" s="1" t="s">
        <v>17</v>
      </c>
      <c r="B280" s="1" t="s">
        <v>22</v>
      </c>
      <c r="C280" s="1" t="s">
        <v>174</v>
      </c>
      <c r="D280" s="1">
        <v>36360</v>
      </c>
      <c r="E280" s="1" t="s">
        <v>293</v>
      </c>
      <c r="F280" s="1" t="s">
        <v>295</v>
      </c>
      <c r="G280" s="1">
        <v>50</v>
      </c>
      <c r="H280" s="1">
        <v>4</v>
      </c>
      <c r="I280" s="1" t="s">
        <v>298</v>
      </c>
      <c r="J280" s="1">
        <v>21</v>
      </c>
      <c r="K280" s="1" t="s">
        <v>300</v>
      </c>
      <c r="L280" s="1" t="s">
        <v>305</v>
      </c>
      <c r="M280" s="1">
        <v>3</v>
      </c>
      <c r="N280" s="1">
        <v>15</v>
      </c>
      <c r="O280" s="1">
        <v>30906</v>
      </c>
      <c r="P280" s="1">
        <f>Table1[[#This Row],[Rooms Booked]]/Table1[[#This Row],[Rooms Available]]*100</f>
        <v>8</v>
      </c>
      <c r="Q280" s="1">
        <f>Table1[[#This Row],[Revenue]]/Table1[[#This Row],[Rooms Booked]]</f>
        <v>9090</v>
      </c>
    </row>
    <row r="281" spans="1:17" x14ac:dyDescent="0.25">
      <c r="A281" s="1" t="s">
        <v>20</v>
      </c>
      <c r="B281" s="1" t="s">
        <v>23</v>
      </c>
      <c r="C281" s="1" t="s">
        <v>217</v>
      </c>
      <c r="D281" s="1">
        <v>94704</v>
      </c>
      <c r="E281" s="1" t="s">
        <v>292</v>
      </c>
      <c r="F281" s="1" t="s">
        <v>295</v>
      </c>
      <c r="G281" s="1">
        <v>50</v>
      </c>
      <c r="H281" s="1">
        <v>4</v>
      </c>
      <c r="I281" s="1" t="s">
        <v>298</v>
      </c>
      <c r="J281" s="1">
        <v>29</v>
      </c>
      <c r="K281" s="1" t="s">
        <v>301</v>
      </c>
      <c r="L281" s="1" t="s">
        <v>306</v>
      </c>
      <c r="M281" s="1">
        <v>2</v>
      </c>
      <c r="N281" s="1">
        <v>15</v>
      </c>
      <c r="O281" s="1">
        <v>80498.399999999994</v>
      </c>
      <c r="P281" s="1">
        <f>Table1[[#This Row],[Rooms Booked]]/Table1[[#This Row],[Rooms Available]]*100</f>
        <v>8</v>
      </c>
      <c r="Q281" s="1">
        <f>Table1[[#This Row],[Revenue]]/Table1[[#This Row],[Rooms Booked]]</f>
        <v>23676</v>
      </c>
    </row>
    <row r="282" spans="1:17" x14ac:dyDescent="0.25">
      <c r="A282" s="1" t="s">
        <v>16</v>
      </c>
      <c r="B282" s="1" t="s">
        <v>23</v>
      </c>
      <c r="C282" s="1" t="s">
        <v>122</v>
      </c>
      <c r="D282" s="1">
        <v>0</v>
      </c>
      <c r="E282" s="1" t="s">
        <v>294</v>
      </c>
      <c r="F282" s="1" t="s">
        <v>297</v>
      </c>
      <c r="G282" s="1">
        <v>50</v>
      </c>
      <c r="H282" s="1">
        <v>2</v>
      </c>
      <c r="I282" s="1" t="s">
        <v>299</v>
      </c>
      <c r="J282" s="1">
        <v>2</v>
      </c>
      <c r="K282" s="1" t="s">
        <v>300</v>
      </c>
      <c r="L282" s="1" t="s">
        <v>305</v>
      </c>
      <c r="M282" s="1">
        <v>4</v>
      </c>
      <c r="N282" s="1">
        <v>0</v>
      </c>
      <c r="O282" s="1">
        <v>0</v>
      </c>
      <c r="P282" s="1">
        <f>Table1[[#This Row],[Rooms Booked]]/Table1[[#This Row],[Rooms Available]]*100</f>
        <v>4</v>
      </c>
      <c r="Q282" s="1">
        <f>Table1[[#This Row],[Revenue]]/Table1[[#This Row],[Rooms Booked]]</f>
        <v>0</v>
      </c>
    </row>
    <row r="283" spans="1:17" x14ac:dyDescent="0.25">
      <c r="A283" s="1" t="s">
        <v>16</v>
      </c>
      <c r="B283" s="1" t="s">
        <v>21</v>
      </c>
      <c r="C283" s="1" t="s">
        <v>75</v>
      </c>
      <c r="D283" s="1">
        <v>88520</v>
      </c>
      <c r="E283" s="1" t="s">
        <v>294</v>
      </c>
      <c r="F283" s="1" t="s">
        <v>295</v>
      </c>
      <c r="G283" s="1">
        <v>50</v>
      </c>
      <c r="H283" s="1">
        <v>5</v>
      </c>
      <c r="I283" s="1" t="s">
        <v>298</v>
      </c>
      <c r="J283" s="1">
        <v>17</v>
      </c>
      <c r="K283" s="1" t="s">
        <v>300</v>
      </c>
      <c r="L283" s="1" t="s">
        <v>304</v>
      </c>
      <c r="M283" s="1">
        <v>2</v>
      </c>
      <c r="N283" s="1">
        <v>5</v>
      </c>
      <c r="O283" s="1">
        <v>84094</v>
      </c>
      <c r="P283" s="1">
        <f>Table1[[#This Row],[Rooms Booked]]/Table1[[#This Row],[Rooms Available]]*100</f>
        <v>10</v>
      </c>
      <c r="Q283" s="1">
        <f>Table1[[#This Row],[Revenue]]/Table1[[#This Row],[Rooms Booked]]</f>
        <v>17704</v>
      </c>
    </row>
    <row r="284" spans="1:17" x14ac:dyDescent="0.25">
      <c r="A284" s="1" t="s">
        <v>20</v>
      </c>
      <c r="B284" s="1" t="s">
        <v>23</v>
      </c>
      <c r="C284" s="1" t="s">
        <v>130</v>
      </c>
      <c r="D284" s="1">
        <v>106980</v>
      </c>
      <c r="E284" s="1" t="s">
        <v>294</v>
      </c>
      <c r="F284" s="1" t="s">
        <v>296</v>
      </c>
      <c r="G284" s="1">
        <v>50</v>
      </c>
      <c r="H284" s="1">
        <v>5</v>
      </c>
      <c r="I284" s="1" t="s">
        <v>298</v>
      </c>
      <c r="J284" s="1">
        <v>5</v>
      </c>
      <c r="K284" s="1" t="s">
        <v>301</v>
      </c>
      <c r="L284" s="1" t="s">
        <v>305</v>
      </c>
      <c r="M284" s="1">
        <v>3</v>
      </c>
      <c r="N284" s="1">
        <v>15</v>
      </c>
      <c r="O284" s="1">
        <v>90933</v>
      </c>
      <c r="P284" s="1">
        <f>Table1[[#This Row],[Rooms Booked]]/Table1[[#This Row],[Rooms Available]]*100</f>
        <v>10</v>
      </c>
      <c r="Q284" s="1">
        <f>Table1[[#This Row],[Revenue]]/Table1[[#This Row],[Rooms Booked]]</f>
        <v>21396</v>
      </c>
    </row>
    <row r="285" spans="1:17" x14ac:dyDescent="0.25">
      <c r="A285" s="1" t="s">
        <v>20</v>
      </c>
      <c r="B285" s="1" t="s">
        <v>23</v>
      </c>
      <c r="C285" s="1" t="s">
        <v>218</v>
      </c>
      <c r="D285" s="1">
        <v>0</v>
      </c>
      <c r="E285" s="1" t="s">
        <v>294</v>
      </c>
      <c r="F285" s="1" t="s">
        <v>296</v>
      </c>
      <c r="G285" s="1">
        <v>50</v>
      </c>
      <c r="H285" s="1">
        <v>4</v>
      </c>
      <c r="I285" s="1" t="s">
        <v>299</v>
      </c>
      <c r="J285" s="1">
        <v>6</v>
      </c>
      <c r="K285" s="1" t="s">
        <v>301</v>
      </c>
      <c r="L285" s="1" t="s">
        <v>304</v>
      </c>
      <c r="M285" s="1">
        <v>2</v>
      </c>
      <c r="N285" s="1">
        <v>15</v>
      </c>
      <c r="O285" s="1">
        <v>0</v>
      </c>
      <c r="P285" s="1">
        <f>Table1[[#This Row],[Rooms Booked]]/Table1[[#This Row],[Rooms Available]]*100</f>
        <v>8</v>
      </c>
      <c r="Q285" s="1">
        <f>Table1[[#This Row],[Revenue]]/Table1[[#This Row],[Rooms Booked]]</f>
        <v>0</v>
      </c>
    </row>
    <row r="286" spans="1:17" x14ac:dyDescent="0.25">
      <c r="A286" s="1" t="s">
        <v>18</v>
      </c>
      <c r="B286" s="1" t="s">
        <v>22</v>
      </c>
      <c r="C286" s="1" t="s">
        <v>219</v>
      </c>
      <c r="D286" s="1">
        <v>53316</v>
      </c>
      <c r="E286" s="1" t="s">
        <v>291</v>
      </c>
      <c r="F286" s="1" t="s">
        <v>295</v>
      </c>
      <c r="G286" s="1">
        <v>50</v>
      </c>
      <c r="H286" s="1">
        <v>4</v>
      </c>
      <c r="I286" s="1" t="s">
        <v>298</v>
      </c>
      <c r="J286" s="1">
        <v>30</v>
      </c>
      <c r="K286" s="1" t="s">
        <v>301</v>
      </c>
      <c r="L286" s="1" t="s">
        <v>304</v>
      </c>
      <c r="M286" s="1">
        <v>1</v>
      </c>
      <c r="N286" s="1">
        <v>0</v>
      </c>
      <c r="O286" s="1">
        <v>53316</v>
      </c>
      <c r="P286" s="1">
        <f>Table1[[#This Row],[Rooms Booked]]/Table1[[#This Row],[Rooms Available]]*100</f>
        <v>8</v>
      </c>
      <c r="Q286" s="1">
        <f>Table1[[#This Row],[Revenue]]/Table1[[#This Row],[Rooms Booked]]</f>
        <v>13329</v>
      </c>
    </row>
    <row r="287" spans="1:17" x14ac:dyDescent="0.25">
      <c r="A287" s="1" t="s">
        <v>15</v>
      </c>
      <c r="B287" s="1" t="s">
        <v>22</v>
      </c>
      <c r="C287" s="1" t="s">
        <v>36</v>
      </c>
      <c r="D287" s="1">
        <v>130527</v>
      </c>
      <c r="E287" s="1" t="s">
        <v>292</v>
      </c>
      <c r="F287" s="1" t="s">
        <v>295</v>
      </c>
      <c r="G287" s="1">
        <v>50</v>
      </c>
      <c r="H287" s="1">
        <v>3</v>
      </c>
      <c r="I287" s="1" t="s">
        <v>298</v>
      </c>
      <c r="J287" s="1">
        <v>5</v>
      </c>
      <c r="K287" s="1" t="s">
        <v>301</v>
      </c>
      <c r="L287" s="1" t="s">
        <v>306</v>
      </c>
      <c r="M287" s="1">
        <v>5</v>
      </c>
      <c r="N287" s="1">
        <v>0</v>
      </c>
      <c r="O287" s="1">
        <v>130527</v>
      </c>
      <c r="P287" s="1">
        <f>Table1[[#This Row],[Rooms Booked]]/Table1[[#This Row],[Rooms Available]]*100</f>
        <v>6</v>
      </c>
      <c r="Q287" s="1">
        <f>Table1[[#This Row],[Revenue]]/Table1[[#This Row],[Rooms Booked]]</f>
        <v>43509</v>
      </c>
    </row>
    <row r="288" spans="1:17" x14ac:dyDescent="0.25">
      <c r="A288" s="1" t="s">
        <v>16</v>
      </c>
      <c r="B288" s="1" t="s">
        <v>22</v>
      </c>
      <c r="C288" s="1" t="s">
        <v>220</v>
      </c>
      <c r="D288" s="1">
        <v>149696</v>
      </c>
      <c r="E288" s="1" t="s">
        <v>293</v>
      </c>
      <c r="F288" s="1" t="s">
        <v>296</v>
      </c>
      <c r="G288" s="1">
        <v>50</v>
      </c>
      <c r="H288" s="1">
        <v>4</v>
      </c>
      <c r="I288" s="1" t="s">
        <v>298</v>
      </c>
      <c r="J288" s="1">
        <v>15</v>
      </c>
      <c r="K288" s="1" t="s">
        <v>301</v>
      </c>
      <c r="L288" s="1" t="s">
        <v>305</v>
      </c>
      <c r="M288" s="1">
        <v>5</v>
      </c>
      <c r="N288" s="1">
        <v>5</v>
      </c>
      <c r="O288" s="1">
        <v>142211.20000000001</v>
      </c>
      <c r="P288" s="1">
        <f>Table1[[#This Row],[Rooms Booked]]/Table1[[#This Row],[Rooms Available]]*100</f>
        <v>8</v>
      </c>
      <c r="Q288" s="1">
        <f>Table1[[#This Row],[Revenue]]/Table1[[#This Row],[Rooms Booked]]</f>
        <v>37424</v>
      </c>
    </row>
    <row r="289" spans="1:17" x14ac:dyDescent="0.25">
      <c r="A289" s="1" t="s">
        <v>20</v>
      </c>
      <c r="B289" s="1" t="s">
        <v>23</v>
      </c>
      <c r="C289" s="1" t="s">
        <v>179</v>
      </c>
      <c r="D289" s="1">
        <v>10055</v>
      </c>
      <c r="E289" s="1" t="s">
        <v>291</v>
      </c>
      <c r="F289" s="1" t="s">
        <v>295</v>
      </c>
      <c r="G289" s="1">
        <v>50</v>
      </c>
      <c r="H289" s="1">
        <v>1</v>
      </c>
      <c r="I289" s="1" t="s">
        <v>298</v>
      </c>
      <c r="J289" s="1">
        <v>17</v>
      </c>
      <c r="K289" s="1" t="s">
        <v>300</v>
      </c>
      <c r="L289" s="1" t="s">
        <v>304</v>
      </c>
      <c r="M289" s="1">
        <v>5</v>
      </c>
      <c r="N289" s="1">
        <v>5</v>
      </c>
      <c r="O289" s="1">
        <v>9552.25</v>
      </c>
      <c r="P289" s="1">
        <f>Table1[[#This Row],[Rooms Booked]]/Table1[[#This Row],[Rooms Available]]*100</f>
        <v>2</v>
      </c>
      <c r="Q289" s="1">
        <f>Table1[[#This Row],[Revenue]]/Table1[[#This Row],[Rooms Booked]]</f>
        <v>10055</v>
      </c>
    </row>
    <row r="290" spans="1:17" x14ac:dyDescent="0.25">
      <c r="A290" s="1" t="s">
        <v>19</v>
      </c>
      <c r="B290" s="1" t="s">
        <v>22</v>
      </c>
      <c r="C290" s="1" t="s">
        <v>195</v>
      </c>
      <c r="D290" s="1">
        <v>81408</v>
      </c>
      <c r="E290" s="1" t="s">
        <v>291</v>
      </c>
      <c r="F290" s="1" t="s">
        <v>296</v>
      </c>
      <c r="G290" s="1">
        <v>50</v>
      </c>
      <c r="H290" s="1">
        <v>2</v>
      </c>
      <c r="I290" s="1" t="s">
        <v>298</v>
      </c>
      <c r="J290" s="1">
        <v>9</v>
      </c>
      <c r="K290" s="1" t="s">
        <v>301</v>
      </c>
      <c r="L290" s="1" t="s">
        <v>305</v>
      </c>
      <c r="M290" s="1">
        <v>1</v>
      </c>
      <c r="N290" s="1">
        <v>15</v>
      </c>
      <c r="O290" s="1">
        <v>69196.800000000003</v>
      </c>
      <c r="P290" s="1">
        <f>Table1[[#This Row],[Rooms Booked]]/Table1[[#This Row],[Rooms Available]]*100</f>
        <v>4</v>
      </c>
      <c r="Q290" s="1">
        <f>Table1[[#This Row],[Revenue]]/Table1[[#This Row],[Rooms Booked]]</f>
        <v>40704</v>
      </c>
    </row>
    <row r="291" spans="1:17" x14ac:dyDescent="0.25">
      <c r="A291" s="1" t="s">
        <v>17</v>
      </c>
      <c r="B291" s="1" t="s">
        <v>23</v>
      </c>
      <c r="C291" s="1" t="s">
        <v>161</v>
      </c>
      <c r="D291" s="1">
        <v>165240</v>
      </c>
      <c r="E291" s="1" t="s">
        <v>291</v>
      </c>
      <c r="F291" s="1" t="s">
        <v>297</v>
      </c>
      <c r="G291" s="1">
        <v>50</v>
      </c>
      <c r="H291" s="1">
        <v>3</v>
      </c>
      <c r="I291" s="1" t="s">
        <v>298</v>
      </c>
      <c r="J291" s="1">
        <v>11</v>
      </c>
      <c r="K291" s="1" t="s">
        <v>301</v>
      </c>
      <c r="L291" s="1" t="s">
        <v>303</v>
      </c>
      <c r="M291" s="1">
        <v>1</v>
      </c>
      <c r="N291" s="1">
        <v>15</v>
      </c>
      <c r="O291" s="1">
        <v>140454</v>
      </c>
      <c r="P291" s="1">
        <f>Table1[[#This Row],[Rooms Booked]]/Table1[[#This Row],[Rooms Available]]*100</f>
        <v>6</v>
      </c>
      <c r="Q291" s="1">
        <f>Table1[[#This Row],[Revenue]]/Table1[[#This Row],[Rooms Booked]]</f>
        <v>55080</v>
      </c>
    </row>
    <row r="292" spans="1:17" x14ac:dyDescent="0.25">
      <c r="A292" s="1" t="s">
        <v>17</v>
      </c>
      <c r="B292" s="1" t="s">
        <v>21</v>
      </c>
      <c r="C292" s="1" t="s">
        <v>221</v>
      </c>
      <c r="D292" s="1">
        <v>71704</v>
      </c>
      <c r="E292" s="1" t="s">
        <v>292</v>
      </c>
      <c r="F292" s="1" t="s">
        <v>296</v>
      </c>
      <c r="G292" s="1">
        <v>50</v>
      </c>
      <c r="H292" s="1">
        <v>2</v>
      </c>
      <c r="I292" s="1" t="s">
        <v>298</v>
      </c>
      <c r="J292" s="1">
        <v>3</v>
      </c>
      <c r="K292" s="1" t="s">
        <v>301</v>
      </c>
      <c r="L292" s="1" t="s">
        <v>303</v>
      </c>
      <c r="M292" s="1">
        <v>5</v>
      </c>
      <c r="N292" s="1">
        <v>5</v>
      </c>
      <c r="O292" s="1">
        <v>68118.8</v>
      </c>
      <c r="P292" s="1">
        <f>Table1[[#This Row],[Rooms Booked]]/Table1[[#This Row],[Rooms Available]]*100</f>
        <v>4</v>
      </c>
      <c r="Q292" s="1">
        <f>Table1[[#This Row],[Revenue]]/Table1[[#This Row],[Rooms Booked]]</f>
        <v>35852</v>
      </c>
    </row>
    <row r="293" spans="1:17" x14ac:dyDescent="0.25">
      <c r="A293" s="1" t="s">
        <v>17</v>
      </c>
      <c r="B293" s="1" t="s">
        <v>21</v>
      </c>
      <c r="C293" s="1" t="s">
        <v>222</v>
      </c>
      <c r="D293" s="1">
        <v>0</v>
      </c>
      <c r="E293" s="1" t="s">
        <v>291</v>
      </c>
      <c r="F293" s="1" t="s">
        <v>295</v>
      </c>
      <c r="G293" s="1">
        <v>50</v>
      </c>
      <c r="H293" s="1">
        <v>4</v>
      </c>
      <c r="I293" s="1" t="s">
        <v>299</v>
      </c>
      <c r="J293" s="1">
        <v>21</v>
      </c>
      <c r="K293" s="1" t="s">
        <v>301</v>
      </c>
      <c r="L293" s="1" t="s">
        <v>303</v>
      </c>
      <c r="M293" s="1">
        <v>2</v>
      </c>
      <c r="N293" s="1">
        <v>5</v>
      </c>
      <c r="O293" s="1">
        <v>0</v>
      </c>
      <c r="P293" s="1">
        <f>Table1[[#This Row],[Rooms Booked]]/Table1[[#This Row],[Rooms Available]]*100</f>
        <v>8</v>
      </c>
      <c r="Q293" s="1">
        <f>Table1[[#This Row],[Revenue]]/Table1[[#This Row],[Rooms Booked]]</f>
        <v>0</v>
      </c>
    </row>
    <row r="294" spans="1:17" x14ac:dyDescent="0.25">
      <c r="A294" s="1" t="s">
        <v>18</v>
      </c>
      <c r="B294" s="1" t="s">
        <v>21</v>
      </c>
      <c r="C294" s="1" t="s">
        <v>42</v>
      </c>
      <c r="D294" s="1">
        <v>196890</v>
      </c>
      <c r="E294" s="1" t="s">
        <v>292</v>
      </c>
      <c r="F294" s="1" t="s">
        <v>295</v>
      </c>
      <c r="G294" s="1">
        <v>50</v>
      </c>
      <c r="H294" s="1">
        <v>5</v>
      </c>
      <c r="I294" s="1" t="s">
        <v>298</v>
      </c>
      <c r="J294" s="1">
        <v>30</v>
      </c>
      <c r="K294" s="1" t="s">
        <v>301</v>
      </c>
      <c r="L294" s="1" t="s">
        <v>303</v>
      </c>
      <c r="M294" s="1">
        <v>1</v>
      </c>
      <c r="N294" s="1">
        <v>0</v>
      </c>
      <c r="O294" s="1">
        <v>196890</v>
      </c>
      <c r="P294" s="1">
        <f>Table1[[#This Row],[Rooms Booked]]/Table1[[#This Row],[Rooms Available]]*100</f>
        <v>10</v>
      </c>
      <c r="Q294" s="1">
        <f>Table1[[#This Row],[Revenue]]/Table1[[#This Row],[Rooms Booked]]</f>
        <v>39378</v>
      </c>
    </row>
    <row r="295" spans="1:17" x14ac:dyDescent="0.25">
      <c r="A295" s="1" t="s">
        <v>17</v>
      </c>
      <c r="B295" s="1" t="s">
        <v>22</v>
      </c>
      <c r="C295" s="1" t="s">
        <v>223</v>
      </c>
      <c r="D295" s="1">
        <v>33028</v>
      </c>
      <c r="E295" s="1" t="s">
        <v>293</v>
      </c>
      <c r="F295" s="1" t="s">
        <v>296</v>
      </c>
      <c r="G295" s="1">
        <v>50</v>
      </c>
      <c r="H295" s="1">
        <v>1</v>
      </c>
      <c r="I295" s="1" t="s">
        <v>298</v>
      </c>
      <c r="J295" s="1">
        <v>27</v>
      </c>
      <c r="K295" s="1" t="s">
        <v>300</v>
      </c>
      <c r="L295" s="1" t="s">
        <v>303</v>
      </c>
      <c r="M295" s="1">
        <v>5</v>
      </c>
      <c r="N295" s="1">
        <v>0</v>
      </c>
      <c r="O295" s="1">
        <v>33028</v>
      </c>
      <c r="P295" s="1">
        <f>Table1[[#This Row],[Rooms Booked]]/Table1[[#This Row],[Rooms Available]]*100</f>
        <v>2</v>
      </c>
      <c r="Q295" s="1">
        <f>Table1[[#This Row],[Revenue]]/Table1[[#This Row],[Rooms Booked]]</f>
        <v>33028</v>
      </c>
    </row>
    <row r="296" spans="1:17" x14ac:dyDescent="0.25">
      <c r="A296" s="1" t="s">
        <v>19</v>
      </c>
      <c r="B296" s="1" t="s">
        <v>22</v>
      </c>
      <c r="C296" s="1" t="s">
        <v>115</v>
      </c>
      <c r="D296" s="1">
        <v>117460</v>
      </c>
      <c r="E296" s="1" t="s">
        <v>294</v>
      </c>
      <c r="F296" s="1" t="s">
        <v>297</v>
      </c>
      <c r="G296" s="1">
        <v>50</v>
      </c>
      <c r="H296" s="1">
        <v>5</v>
      </c>
      <c r="I296" s="1" t="s">
        <v>298</v>
      </c>
      <c r="J296" s="1">
        <v>15</v>
      </c>
      <c r="K296" s="1" t="s">
        <v>300</v>
      </c>
      <c r="L296" s="1" t="s">
        <v>302</v>
      </c>
      <c r="M296" s="1">
        <v>5</v>
      </c>
      <c r="N296" s="1">
        <v>15</v>
      </c>
      <c r="O296" s="1">
        <v>99841</v>
      </c>
      <c r="P296" s="1">
        <f>Table1[[#This Row],[Rooms Booked]]/Table1[[#This Row],[Rooms Available]]*100</f>
        <v>10</v>
      </c>
      <c r="Q296" s="1">
        <f>Table1[[#This Row],[Revenue]]/Table1[[#This Row],[Rooms Booked]]</f>
        <v>23492</v>
      </c>
    </row>
    <row r="297" spans="1:17" x14ac:dyDescent="0.25">
      <c r="A297" s="1" t="s">
        <v>20</v>
      </c>
      <c r="B297" s="1" t="s">
        <v>21</v>
      </c>
      <c r="C297" s="1" t="s">
        <v>224</v>
      </c>
      <c r="D297" s="1">
        <v>23848</v>
      </c>
      <c r="E297" s="1" t="s">
        <v>291</v>
      </c>
      <c r="F297" s="1" t="s">
        <v>297</v>
      </c>
      <c r="G297" s="1">
        <v>50</v>
      </c>
      <c r="H297" s="1">
        <v>1</v>
      </c>
      <c r="I297" s="1" t="s">
        <v>298</v>
      </c>
      <c r="J297" s="1">
        <v>4</v>
      </c>
      <c r="K297" s="1" t="s">
        <v>301</v>
      </c>
      <c r="L297" s="1" t="s">
        <v>303</v>
      </c>
      <c r="M297" s="1">
        <v>5</v>
      </c>
      <c r="N297" s="1">
        <v>10</v>
      </c>
      <c r="O297" s="1">
        <v>21463.200000000001</v>
      </c>
      <c r="P297" s="1">
        <f>Table1[[#This Row],[Rooms Booked]]/Table1[[#This Row],[Rooms Available]]*100</f>
        <v>2</v>
      </c>
      <c r="Q297" s="1">
        <f>Table1[[#This Row],[Revenue]]/Table1[[#This Row],[Rooms Booked]]</f>
        <v>23848</v>
      </c>
    </row>
    <row r="298" spans="1:17" x14ac:dyDescent="0.25">
      <c r="A298" s="1" t="s">
        <v>20</v>
      </c>
      <c r="B298" s="1" t="s">
        <v>23</v>
      </c>
      <c r="C298" s="1" t="s">
        <v>184</v>
      </c>
      <c r="D298" s="1">
        <v>206380</v>
      </c>
      <c r="E298" s="1" t="s">
        <v>293</v>
      </c>
      <c r="F298" s="1" t="s">
        <v>296</v>
      </c>
      <c r="G298" s="1">
        <v>50</v>
      </c>
      <c r="H298" s="1">
        <v>5</v>
      </c>
      <c r="I298" s="1" t="s">
        <v>298</v>
      </c>
      <c r="J298" s="1">
        <v>29</v>
      </c>
      <c r="K298" s="1" t="s">
        <v>301</v>
      </c>
      <c r="L298" s="1" t="s">
        <v>304</v>
      </c>
      <c r="M298" s="1">
        <v>5</v>
      </c>
      <c r="N298" s="1">
        <v>10</v>
      </c>
      <c r="O298" s="1">
        <v>185742</v>
      </c>
      <c r="P298" s="1">
        <f>Table1[[#This Row],[Rooms Booked]]/Table1[[#This Row],[Rooms Available]]*100</f>
        <v>10</v>
      </c>
      <c r="Q298" s="1">
        <f>Table1[[#This Row],[Revenue]]/Table1[[#This Row],[Rooms Booked]]</f>
        <v>41276</v>
      </c>
    </row>
    <row r="299" spans="1:17" x14ac:dyDescent="0.25">
      <c r="A299" s="1" t="s">
        <v>19</v>
      </c>
      <c r="B299" s="1" t="s">
        <v>22</v>
      </c>
      <c r="C299" s="1" t="s">
        <v>225</v>
      </c>
      <c r="D299" s="1">
        <v>0</v>
      </c>
      <c r="E299" s="1" t="s">
        <v>291</v>
      </c>
      <c r="F299" s="1" t="s">
        <v>296</v>
      </c>
      <c r="G299" s="1">
        <v>50</v>
      </c>
      <c r="H299" s="1">
        <v>4</v>
      </c>
      <c r="I299" s="1" t="s">
        <v>299</v>
      </c>
      <c r="J299" s="1">
        <v>23</v>
      </c>
      <c r="K299" s="1" t="s">
        <v>301</v>
      </c>
      <c r="L299" s="1" t="s">
        <v>302</v>
      </c>
      <c r="M299" s="1">
        <v>4</v>
      </c>
      <c r="N299" s="1">
        <v>15</v>
      </c>
      <c r="O299" s="1">
        <v>0</v>
      </c>
      <c r="P299" s="1">
        <f>Table1[[#This Row],[Rooms Booked]]/Table1[[#This Row],[Rooms Available]]*100</f>
        <v>8</v>
      </c>
      <c r="Q299" s="1">
        <f>Table1[[#This Row],[Revenue]]/Table1[[#This Row],[Rooms Booked]]</f>
        <v>0</v>
      </c>
    </row>
    <row r="300" spans="1:17" x14ac:dyDescent="0.25">
      <c r="A300" s="1" t="s">
        <v>18</v>
      </c>
      <c r="B300" s="1" t="s">
        <v>22</v>
      </c>
      <c r="C300" s="1" t="s">
        <v>226</v>
      </c>
      <c r="D300" s="1">
        <v>17409</v>
      </c>
      <c r="E300" s="1" t="s">
        <v>292</v>
      </c>
      <c r="F300" s="1" t="s">
        <v>297</v>
      </c>
      <c r="G300" s="1">
        <v>50</v>
      </c>
      <c r="H300" s="1">
        <v>3</v>
      </c>
      <c r="I300" s="1" t="s">
        <v>298</v>
      </c>
      <c r="J300" s="1">
        <v>30</v>
      </c>
      <c r="K300" s="1" t="s">
        <v>300</v>
      </c>
      <c r="L300" s="1" t="s">
        <v>303</v>
      </c>
      <c r="M300" s="1">
        <v>2</v>
      </c>
      <c r="N300" s="1">
        <v>5</v>
      </c>
      <c r="O300" s="1">
        <v>16538.55</v>
      </c>
      <c r="P300" s="1">
        <f>Table1[[#This Row],[Rooms Booked]]/Table1[[#This Row],[Rooms Available]]*100</f>
        <v>6</v>
      </c>
      <c r="Q300" s="1">
        <f>Table1[[#This Row],[Revenue]]/Table1[[#This Row],[Rooms Booked]]</f>
        <v>5803</v>
      </c>
    </row>
    <row r="301" spans="1:17" x14ac:dyDescent="0.25">
      <c r="A301" s="1" t="s">
        <v>20</v>
      </c>
      <c r="B301" s="1" t="s">
        <v>21</v>
      </c>
      <c r="C301" s="1" t="s">
        <v>41</v>
      </c>
      <c r="D301" s="1">
        <v>24934</v>
      </c>
      <c r="E301" s="1" t="s">
        <v>294</v>
      </c>
      <c r="F301" s="1" t="s">
        <v>295</v>
      </c>
      <c r="G301" s="1">
        <v>50</v>
      </c>
      <c r="H301" s="1">
        <v>1</v>
      </c>
      <c r="I301" s="1" t="s">
        <v>298</v>
      </c>
      <c r="J301" s="1">
        <v>1</v>
      </c>
      <c r="K301" s="1" t="s">
        <v>300</v>
      </c>
      <c r="L301" s="1" t="s">
        <v>306</v>
      </c>
      <c r="M301" s="1">
        <v>5</v>
      </c>
      <c r="N301" s="1">
        <v>10</v>
      </c>
      <c r="O301" s="1">
        <v>22440.6</v>
      </c>
      <c r="P301" s="1">
        <f>Table1[[#This Row],[Rooms Booked]]/Table1[[#This Row],[Rooms Available]]*100</f>
        <v>2</v>
      </c>
      <c r="Q301" s="1">
        <f>Table1[[#This Row],[Revenue]]/Table1[[#This Row],[Rooms Booked]]</f>
        <v>24934</v>
      </c>
    </row>
    <row r="302" spans="1:17" x14ac:dyDescent="0.25">
      <c r="A302" s="1" t="s">
        <v>19</v>
      </c>
      <c r="B302" s="1" t="s">
        <v>22</v>
      </c>
      <c r="C302" s="1" t="s">
        <v>53</v>
      </c>
      <c r="D302" s="1">
        <v>100728</v>
      </c>
      <c r="E302" s="1" t="s">
        <v>291</v>
      </c>
      <c r="F302" s="1" t="s">
        <v>297</v>
      </c>
      <c r="G302" s="1">
        <v>50</v>
      </c>
      <c r="H302" s="1">
        <v>2</v>
      </c>
      <c r="I302" s="1" t="s">
        <v>298</v>
      </c>
      <c r="J302" s="1">
        <v>1</v>
      </c>
      <c r="K302" s="1" t="s">
        <v>301</v>
      </c>
      <c r="L302" s="1" t="s">
        <v>306</v>
      </c>
      <c r="M302" s="1">
        <v>2</v>
      </c>
      <c r="N302" s="1">
        <v>5</v>
      </c>
      <c r="O302" s="1">
        <v>95691.6</v>
      </c>
      <c r="P302" s="1">
        <f>Table1[[#This Row],[Rooms Booked]]/Table1[[#This Row],[Rooms Available]]*100</f>
        <v>4</v>
      </c>
      <c r="Q302" s="1">
        <f>Table1[[#This Row],[Revenue]]/Table1[[#This Row],[Rooms Booked]]</f>
        <v>50364</v>
      </c>
    </row>
    <row r="303" spans="1:17" x14ac:dyDescent="0.25">
      <c r="A303" s="1" t="s">
        <v>20</v>
      </c>
      <c r="B303" s="1" t="s">
        <v>21</v>
      </c>
      <c r="C303" s="1" t="s">
        <v>120</v>
      </c>
      <c r="D303" s="1">
        <v>34647</v>
      </c>
      <c r="E303" s="1" t="s">
        <v>292</v>
      </c>
      <c r="F303" s="1" t="s">
        <v>296</v>
      </c>
      <c r="G303" s="1">
        <v>50</v>
      </c>
      <c r="H303" s="1">
        <v>3</v>
      </c>
      <c r="I303" s="1" t="s">
        <v>298</v>
      </c>
      <c r="J303" s="1">
        <v>23</v>
      </c>
      <c r="K303" s="1" t="s">
        <v>300</v>
      </c>
      <c r="L303" s="1" t="s">
        <v>304</v>
      </c>
      <c r="M303" s="1">
        <v>5</v>
      </c>
      <c r="N303" s="1">
        <v>15</v>
      </c>
      <c r="O303" s="1">
        <v>29449.95</v>
      </c>
      <c r="P303" s="1">
        <f>Table1[[#This Row],[Rooms Booked]]/Table1[[#This Row],[Rooms Available]]*100</f>
        <v>6</v>
      </c>
      <c r="Q303" s="1">
        <f>Table1[[#This Row],[Revenue]]/Table1[[#This Row],[Rooms Booked]]</f>
        <v>11549</v>
      </c>
    </row>
    <row r="304" spans="1:17" x14ac:dyDescent="0.25">
      <c r="A304" s="1" t="s">
        <v>19</v>
      </c>
      <c r="B304" s="1" t="s">
        <v>22</v>
      </c>
      <c r="C304" s="1" t="s">
        <v>198</v>
      </c>
      <c r="D304" s="1">
        <v>13053</v>
      </c>
      <c r="E304" s="1" t="s">
        <v>292</v>
      </c>
      <c r="F304" s="1" t="s">
        <v>295</v>
      </c>
      <c r="G304" s="1">
        <v>50</v>
      </c>
      <c r="H304" s="1">
        <v>3</v>
      </c>
      <c r="I304" s="1" t="s">
        <v>298</v>
      </c>
      <c r="J304" s="1">
        <v>26</v>
      </c>
      <c r="K304" s="1" t="s">
        <v>300</v>
      </c>
      <c r="L304" s="1" t="s">
        <v>305</v>
      </c>
      <c r="M304" s="1">
        <v>1</v>
      </c>
      <c r="N304" s="1">
        <v>5</v>
      </c>
      <c r="O304" s="1">
        <v>12400.35</v>
      </c>
      <c r="P304" s="1">
        <f>Table1[[#This Row],[Rooms Booked]]/Table1[[#This Row],[Rooms Available]]*100</f>
        <v>6</v>
      </c>
      <c r="Q304" s="1">
        <f>Table1[[#This Row],[Revenue]]/Table1[[#This Row],[Rooms Booked]]</f>
        <v>4351</v>
      </c>
    </row>
    <row r="305" spans="1:17" x14ac:dyDescent="0.25">
      <c r="A305" s="1" t="s">
        <v>20</v>
      </c>
      <c r="B305" s="1" t="s">
        <v>21</v>
      </c>
      <c r="C305" s="1" t="s">
        <v>142</v>
      </c>
      <c r="D305" s="1">
        <v>36870</v>
      </c>
      <c r="E305" s="1" t="s">
        <v>291</v>
      </c>
      <c r="F305" s="1" t="s">
        <v>295</v>
      </c>
      <c r="G305" s="1">
        <v>50</v>
      </c>
      <c r="H305" s="1">
        <v>3</v>
      </c>
      <c r="I305" s="1" t="s">
        <v>298</v>
      </c>
      <c r="J305" s="1">
        <v>5</v>
      </c>
      <c r="K305" s="1" t="s">
        <v>300</v>
      </c>
      <c r="L305" s="1" t="s">
        <v>305</v>
      </c>
      <c r="M305" s="1">
        <v>3</v>
      </c>
      <c r="N305" s="1">
        <v>0</v>
      </c>
      <c r="O305" s="1">
        <v>36870</v>
      </c>
      <c r="P305" s="1">
        <f>Table1[[#This Row],[Rooms Booked]]/Table1[[#This Row],[Rooms Available]]*100</f>
        <v>6</v>
      </c>
      <c r="Q305" s="1">
        <f>Table1[[#This Row],[Revenue]]/Table1[[#This Row],[Rooms Booked]]</f>
        <v>12290</v>
      </c>
    </row>
    <row r="306" spans="1:17" x14ac:dyDescent="0.25">
      <c r="A306" s="1" t="s">
        <v>15</v>
      </c>
      <c r="B306" s="1" t="s">
        <v>23</v>
      </c>
      <c r="C306" s="1" t="s">
        <v>172</v>
      </c>
      <c r="D306" s="1">
        <v>25700</v>
      </c>
      <c r="E306" s="1" t="s">
        <v>294</v>
      </c>
      <c r="F306" s="1" t="s">
        <v>295</v>
      </c>
      <c r="G306" s="1">
        <v>50</v>
      </c>
      <c r="H306" s="1">
        <v>1</v>
      </c>
      <c r="I306" s="1" t="s">
        <v>298</v>
      </c>
      <c r="J306" s="1">
        <v>15</v>
      </c>
      <c r="K306" s="1" t="s">
        <v>300</v>
      </c>
      <c r="L306" s="1" t="s">
        <v>304</v>
      </c>
      <c r="M306" s="1">
        <v>4</v>
      </c>
      <c r="N306" s="1">
        <v>10</v>
      </c>
      <c r="O306" s="1">
        <v>23130</v>
      </c>
      <c r="P306" s="1">
        <f>Table1[[#This Row],[Rooms Booked]]/Table1[[#This Row],[Rooms Available]]*100</f>
        <v>2</v>
      </c>
      <c r="Q306" s="1">
        <f>Table1[[#This Row],[Revenue]]/Table1[[#This Row],[Rooms Booked]]</f>
        <v>25700</v>
      </c>
    </row>
    <row r="307" spans="1:17" x14ac:dyDescent="0.25">
      <c r="A307" s="1" t="s">
        <v>17</v>
      </c>
      <c r="B307" s="1" t="s">
        <v>22</v>
      </c>
      <c r="C307" s="1" t="s">
        <v>227</v>
      </c>
      <c r="D307" s="1">
        <v>57215</v>
      </c>
      <c r="E307" s="1" t="s">
        <v>293</v>
      </c>
      <c r="F307" s="1" t="s">
        <v>295</v>
      </c>
      <c r="G307" s="1">
        <v>50</v>
      </c>
      <c r="H307" s="1">
        <v>5</v>
      </c>
      <c r="I307" s="1" t="s">
        <v>298</v>
      </c>
      <c r="J307" s="1">
        <v>22</v>
      </c>
      <c r="K307" s="1" t="s">
        <v>300</v>
      </c>
      <c r="L307" s="1" t="s">
        <v>305</v>
      </c>
      <c r="M307" s="1">
        <v>4</v>
      </c>
      <c r="N307" s="1">
        <v>10</v>
      </c>
      <c r="O307" s="1">
        <v>51493.5</v>
      </c>
      <c r="P307" s="1">
        <f>Table1[[#This Row],[Rooms Booked]]/Table1[[#This Row],[Rooms Available]]*100</f>
        <v>10</v>
      </c>
      <c r="Q307" s="1">
        <f>Table1[[#This Row],[Revenue]]/Table1[[#This Row],[Rooms Booked]]</f>
        <v>11443</v>
      </c>
    </row>
    <row r="308" spans="1:17" x14ac:dyDescent="0.25">
      <c r="A308" s="1" t="s">
        <v>20</v>
      </c>
      <c r="B308" s="1" t="s">
        <v>22</v>
      </c>
      <c r="C308" s="1" t="s">
        <v>228</v>
      </c>
      <c r="D308" s="1">
        <v>16821</v>
      </c>
      <c r="E308" s="1" t="s">
        <v>294</v>
      </c>
      <c r="F308" s="1" t="s">
        <v>296</v>
      </c>
      <c r="G308" s="1">
        <v>50</v>
      </c>
      <c r="H308" s="1">
        <v>3</v>
      </c>
      <c r="I308" s="1" t="s">
        <v>298</v>
      </c>
      <c r="J308" s="1">
        <v>29</v>
      </c>
      <c r="K308" s="1" t="s">
        <v>300</v>
      </c>
      <c r="L308" s="1" t="s">
        <v>304</v>
      </c>
      <c r="M308" s="1">
        <v>4</v>
      </c>
      <c r="N308" s="1">
        <v>10</v>
      </c>
      <c r="O308" s="1">
        <v>15138.9</v>
      </c>
      <c r="P308" s="1">
        <f>Table1[[#This Row],[Rooms Booked]]/Table1[[#This Row],[Rooms Available]]*100</f>
        <v>6</v>
      </c>
      <c r="Q308" s="1">
        <f>Table1[[#This Row],[Revenue]]/Table1[[#This Row],[Rooms Booked]]</f>
        <v>5607</v>
      </c>
    </row>
    <row r="309" spans="1:17" x14ac:dyDescent="0.25">
      <c r="A309" s="1" t="s">
        <v>15</v>
      </c>
      <c r="B309" s="1" t="s">
        <v>21</v>
      </c>
      <c r="C309" s="1" t="s">
        <v>154</v>
      </c>
      <c r="D309" s="1">
        <v>113528</v>
      </c>
      <c r="E309" s="1" t="s">
        <v>292</v>
      </c>
      <c r="F309" s="1" t="s">
        <v>295</v>
      </c>
      <c r="G309" s="1">
        <v>50</v>
      </c>
      <c r="H309" s="1">
        <v>4</v>
      </c>
      <c r="I309" s="1" t="s">
        <v>298</v>
      </c>
      <c r="J309" s="1">
        <v>12</v>
      </c>
      <c r="K309" s="1" t="s">
        <v>301</v>
      </c>
      <c r="L309" s="1" t="s">
        <v>303</v>
      </c>
      <c r="M309" s="1">
        <v>3</v>
      </c>
      <c r="N309" s="1">
        <v>10</v>
      </c>
      <c r="O309" s="1">
        <v>102175.2</v>
      </c>
      <c r="P309" s="1">
        <f>Table1[[#This Row],[Rooms Booked]]/Table1[[#This Row],[Rooms Available]]*100</f>
        <v>8</v>
      </c>
      <c r="Q309" s="1">
        <f>Table1[[#This Row],[Revenue]]/Table1[[#This Row],[Rooms Booked]]</f>
        <v>28382</v>
      </c>
    </row>
    <row r="310" spans="1:17" x14ac:dyDescent="0.25">
      <c r="A310" s="1" t="s">
        <v>16</v>
      </c>
      <c r="B310" s="1" t="s">
        <v>23</v>
      </c>
      <c r="C310" s="1" t="s">
        <v>190</v>
      </c>
      <c r="D310" s="1">
        <v>92805</v>
      </c>
      <c r="E310" s="1" t="s">
        <v>293</v>
      </c>
      <c r="F310" s="1" t="s">
        <v>295</v>
      </c>
      <c r="G310" s="1">
        <v>50</v>
      </c>
      <c r="H310" s="1">
        <v>5</v>
      </c>
      <c r="I310" s="1" t="s">
        <v>298</v>
      </c>
      <c r="J310" s="1">
        <v>24</v>
      </c>
      <c r="K310" s="1" t="s">
        <v>301</v>
      </c>
      <c r="L310" s="1" t="s">
        <v>302</v>
      </c>
      <c r="M310" s="1">
        <v>1</v>
      </c>
      <c r="N310" s="1">
        <v>15</v>
      </c>
      <c r="O310" s="1">
        <v>78884.25</v>
      </c>
      <c r="P310" s="1">
        <f>Table1[[#This Row],[Rooms Booked]]/Table1[[#This Row],[Rooms Available]]*100</f>
        <v>10</v>
      </c>
      <c r="Q310" s="1">
        <f>Table1[[#This Row],[Revenue]]/Table1[[#This Row],[Rooms Booked]]</f>
        <v>18561</v>
      </c>
    </row>
    <row r="311" spans="1:17" x14ac:dyDescent="0.25">
      <c r="A311" s="1" t="s">
        <v>18</v>
      </c>
      <c r="B311" s="1" t="s">
        <v>23</v>
      </c>
      <c r="C311" s="1" t="s">
        <v>229</v>
      </c>
      <c r="D311" s="1">
        <v>10406</v>
      </c>
      <c r="E311" s="1" t="s">
        <v>294</v>
      </c>
      <c r="F311" s="1" t="s">
        <v>295</v>
      </c>
      <c r="G311" s="1">
        <v>50</v>
      </c>
      <c r="H311" s="1">
        <v>1</v>
      </c>
      <c r="I311" s="1" t="s">
        <v>298</v>
      </c>
      <c r="J311" s="1">
        <v>14</v>
      </c>
      <c r="K311" s="1" t="s">
        <v>301</v>
      </c>
      <c r="L311" s="1" t="s">
        <v>305</v>
      </c>
      <c r="M311" s="1">
        <v>2</v>
      </c>
      <c r="N311" s="1">
        <v>0</v>
      </c>
      <c r="O311" s="1">
        <v>10406</v>
      </c>
      <c r="P311" s="1">
        <f>Table1[[#This Row],[Rooms Booked]]/Table1[[#This Row],[Rooms Available]]*100</f>
        <v>2</v>
      </c>
      <c r="Q311" s="1">
        <f>Table1[[#This Row],[Revenue]]/Table1[[#This Row],[Rooms Booked]]</f>
        <v>10406</v>
      </c>
    </row>
    <row r="312" spans="1:17" x14ac:dyDescent="0.25">
      <c r="A312" s="1" t="s">
        <v>18</v>
      </c>
      <c r="B312" s="1" t="s">
        <v>23</v>
      </c>
      <c r="C312" s="1" t="s">
        <v>80</v>
      </c>
      <c r="D312" s="1">
        <v>40936</v>
      </c>
      <c r="E312" s="1" t="s">
        <v>292</v>
      </c>
      <c r="F312" s="1" t="s">
        <v>297</v>
      </c>
      <c r="G312" s="1">
        <v>50</v>
      </c>
      <c r="H312" s="1">
        <v>4</v>
      </c>
      <c r="I312" s="1" t="s">
        <v>298</v>
      </c>
      <c r="J312" s="1">
        <v>17</v>
      </c>
      <c r="K312" s="1" t="s">
        <v>300</v>
      </c>
      <c r="L312" s="1" t="s">
        <v>306</v>
      </c>
      <c r="M312" s="1">
        <v>1</v>
      </c>
      <c r="N312" s="1">
        <v>5</v>
      </c>
      <c r="O312" s="1">
        <v>38889.199999999997</v>
      </c>
      <c r="P312" s="1">
        <f>Table1[[#This Row],[Rooms Booked]]/Table1[[#This Row],[Rooms Available]]*100</f>
        <v>8</v>
      </c>
      <c r="Q312" s="1">
        <f>Table1[[#This Row],[Revenue]]/Table1[[#This Row],[Rooms Booked]]</f>
        <v>10234</v>
      </c>
    </row>
    <row r="313" spans="1:17" x14ac:dyDescent="0.25">
      <c r="A313" s="1" t="s">
        <v>20</v>
      </c>
      <c r="B313" s="1" t="s">
        <v>23</v>
      </c>
      <c r="C313" s="1" t="s">
        <v>230</v>
      </c>
      <c r="D313" s="1">
        <v>50552</v>
      </c>
      <c r="E313" s="1" t="s">
        <v>291</v>
      </c>
      <c r="F313" s="1" t="s">
        <v>295</v>
      </c>
      <c r="G313" s="1">
        <v>50</v>
      </c>
      <c r="H313" s="1">
        <v>2</v>
      </c>
      <c r="I313" s="1" t="s">
        <v>298</v>
      </c>
      <c r="J313" s="1">
        <v>20</v>
      </c>
      <c r="K313" s="1" t="s">
        <v>300</v>
      </c>
      <c r="L313" s="1" t="s">
        <v>306</v>
      </c>
      <c r="M313" s="1">
        <v>3</v>
      </c>
      <c r="N313" s="1">
        <v>15</v>
      </c>
      <c r="O313" s="1">
        <v>42969.2</v>
      </c>
      <c r="P313" s="1">
        <f>Table1[[#This Row],[Rooms Booked]]/Table1[[#This Row],[Rooms Available]]*100</f>
        <v>4</v>
      </c>
      <c r="Q313" s="1">
        <f>Table1[[#This Row],[Revenue]]/Table1[[#This Row],[Rooms Booked]]</f>
        <v>25276</v>
      </c>
    </row>
    <row r="314" spans="1:17" x14ac:dyDescent="0.25">
      <c r="A314" s="1" t="s">
        <v>19</v>
      </c>
      <c r="B314" s="1" t="s">
        <v>23</v>
      </c>
      <c r="C314" s="1" t="s">
        <v>25</v>
      </c>
      <c r="D314" s="1">
        <v>0</v>
      </c>
      <c r="E314" s="1" t="s">
        <v>293</v>
      </c>
      <c r="F314" s="1" t="s">
        <v>295</v>
      </c>
      <c r="G314" s="1">
        <v>50</v>
      </c>
      <c r="H314" s="1">
        <v>3</v>
      </c>
      <c r="I314" s="1" t="s">
        <v>299</v>
      </c>
      <c r="J314" s="1">
        <v>22</v>
      </c>
      <c r="K314" s="1" t="s">
        <v>300</v>
      </c>
      <c r="L314" s="1" t="s">
        <v>305</v>
      </c>
      <c r="M314" s="1">
        <v>2</v>
      </c>
      <c r="N314" s="1">
        <v>15</v>
      </c>
      <c r="O314" s="1">
        <v>0</v>
      </c>
      <c r="P314" s="1">
        <f>Table1[[#This Row],[Rooms Booked]]/Table1[[#This Row],[Rooms Available]]*100</f>
        <v>6</v>
      </c>
      <c r="Q314" s="1">
        <f>Table1[[#This Row],[Revenue]]/Table1[[#This Row],[Rooms Booked]]</f>
        <v>0</v>
      </c>
    </row>
    <row r="315" spans="1:17" x14ac:dyDescent="0.25">
      <c r="A315" s="1" t="s">
        <v>18</v>
      </c>
      <c r="B315" s="1" t="s">
        <v>23</v>
      </c>
      <c r="C315" s="1" t="s">
        <v>231</v>
      </c>
      <c r="D315" s="1">
        <v>58744</v>
      </c>
      <c r="E315" s="1" t="s">
        <v>291</v>
      </c>
      <c r="F315" s="1" t="s">
        <v>296</v>
      </c>
      <c r="G315" s="1">
        <v>50</v>
      </c>
      <c r="H315" s="1">
        <v>1</v>
      </c>
      <c r="I315" s="1" t="s">
        <v>298</v>
      </c>
      <c r="J315" s="1">
        <v>15</v>
      </c>
      <c r="K315" s="1" t="s">
        <v>301</v>
      </c>
      <c r="L315" s="1" t="s">
        <v>304</v>
      </c>
      <c r="M315" s="1">
        <v>3</v>
      </c>
      <c r="N315" s="1">
        <v>5</v>
      </c>
      <c r="O315" s="1">
        <v>55806.8</v>
      </c>
      <c r="P315" s="1">
        <f>Table1[[#This Row],[Rooms Booked]]/Table1[[#This Row],[Rooms Available]]*100</f>
        <v>2</v>
      </c>
      <c r="Q315" s="1">
        <f>Table1[[#This Row],[Revenue]]/Table1[[#This Row],[Rooms Booked]]</f>
        <v>58744</v>
      </c>
    </row>
    <row r="316" spans="1:17" x14ac:dyDescent="0.25">
      <c r="A316" s="1" t="s">
        <v>16</v>
      </c>
      <c r="B316" s="1" t="s">
        <v>23</v>
      </c>
      <c r="C316" s="1" t="s">
        <v>41</v>
      </c>
      <c r="D316" s="1">
        <v>48132</v>
      </c>
      <c r="E316" s="1" t="s">
        <v>294</v>
      </c>
      <c r="F316" s="1" t="s">
        <v>295</v>
      </c>
      <c r="G316" s="1">
        <v>50</v>
      </c>
      <c r="H316" s="1">
        <v>3</v>
      </c>
      <c r="I316" s="1" t="s">
        <v>298</v>
      </c>
      <c r="J316" s="1">
        <v>14</v>
      </c>
      <c r="K316" s="1" t="s">
        <v>300</v>
      </c>
      <c r="L316" s="1" t="s">
        <v>304</v>
      </c>
      <c r="M316" s="1">
        <v>3</v>
      </c>
      <c r="N316" s="1">
        <v>5</v>
      </c>
      <c r="O316" s="1">
        <v>45725.4</v>
      </c>
      <c r="P316" s="1">
        <f>Table1[[#This Row],[Rooms Booked]]/Table1[[#This Row],[Rooms Available]]*100</f>
        <v>6</v>
      </c>
      <c r="Q316" s="1">
        <f>Table1[[#This Row],[Revenue]]/Table1[[#This Row],[Rooms Booked]]</f>
        <v>16044</v>
      </c>
    </row>
    <row r="317" spans="1:17" x14ac:dyDescent="0.25">
      <c r="A317" s="1" t="s">
        <v>18</v>
      </c>
      <c r="B317" s="1" t="s">
        <v>21</v>
      </c>
      <c r="C317" s="1" t="s">
        <v>87</v>
      </c>
      <c r="D317" s="1">
        <v>43668</v>
      </c>
      <c r="E317" s="1" t="s">
        <v>294</v>
      </c>
      <c r="F317" s="1" t="s">
        <v>296</v>
      </c>
      <c r="G317" s="1">
        <v>50</v>
      </c>
      <c r="H317" s="1">
        <v>3</v>
      </c>
      <c r="I317" s="1" t="s">
        <v>298</v>
      </c>
      <c r="J317" s="1">
        <v>10</v>
      </c>
      <c r="K317" s="1" t="s">
        <v>301</v>
      </c>
      <c r="L317" s="1" t="s">
        <v>302</v>
      </c>
      <c r="M317" s="1">
        <v>4</v>
      </c>
      <c r="N317" s="1">
        <v>0</v>
      </c>
      <c r="O317" s="1">
        <v>43668</v>
      </c>
      <c r="P317" s="1">
        <f>Table1[[#This Row],[Rooms Booked]]/Table1[[#This Row],[Rooms Available]]*100</f>
        <v>6</v>
      </c>
      <c r="Q317" s="1">
        <f>Table1[[#This Row],[Revenue]]/Table1[[#This Row],[Rooms Booked]]</f>
        <v>14556</v>
      </c>
    </row>
    <row r="318" spans="1:17" x14ac:dyDescent="0.25">
      <c r="A318" s="1" t="s">
        <v>17</v>
      </c>
      <c r="B318" s="1" t="s">
        <v>21</v>
      </c>
      <c r="C318" s="1" t="s">
        <v>102</v>
      </c>
      <c r="D318" s="1">
        <v>38715</v>
      </c>
      <c r="E318" s="1" t="s">
        <v>292</v>
      </c>
      <c r="F318" s="1" t="s">
        <v>295</v>
      </c>
      <c r="G318" s="1">
        <v>50</v>
      </c>
      <c r="H318" s="1">
        <v>5</v>
      </c>
      <c r="I318" s="1" t="s">
        <v>298</v>
      </c>
      <c r="J318" s="1">
        <v>26</v>
      </c>
      <c r="K318" s="1" t="s">
        <v>301</v>
      </c>
      <c r="L318" s="1" t="s">
        <v>302</v>
      </c>
      <c r="M318" s="1">
        <v>5</v>
      </c>
      <c r="N318" s="1">
        <v>0</v>
      </c>
      <c r="O318" s="1">
        <v>38715</v>
      </c>
      <c r="P318" s="1">
        <f>Table1[[#This Row],[Rooms Booked]]/Table1[[#This Row],[Rooms Available]]*100</f>
        <v>10</v>
      </c>
      <c r="Q318" s="1">
        <f>Table1[[#This Row],[Revenue]]/Table1[[#This Row],[Rooms Booked]]</f>
        <v>7743</v>
      </c>
    </row>
    <row r="319" spans="1:17" x14ac:dyDescent="0.25">
      <c r="A319" s="1" t="s">
        <v>17</v>
      </c>
      <c r="B319" s="1" t="s">
        <v>22</v>
      </c>
      <c r="C319" s="1" t="s">
        <v>232</v>
      </c>
      <c r="D319" s="1">
        <v>169640</v>
      </c>
      <c r="E319" s="1" t="s">
        <v>294</v>
      </c>
      <c r="F319" s="1" t="s">
        <v>296</v>
      </c>
      <c r="G319" s="1">
        <v>50</v>
      </c>
      <c r="H319" s="1">
        <v>5</v>
      </c>
      <c r="I319" s="1" t="s">
        <v>298</v>
      </c>
      <c r="J319" s="1">
        <v>27</v>
      </c>
      <c r="K319" s="1" t="s">
        <v>301</v>
      </c>
      <c r="L319" s="1" t="s">
        <v>302</v>
      </c>
      <c r="M319" s="1">
        <v>4</v>
      </c>
      <c r="N319" s="1">
        <v>10</v>
      </c>
      <c r="O319" s="1">
        <v>152676</v>
      </c>
      <c r="P319" s="1">
        <f>Table1[[#This Row],[Rooms Booked]]/Table1[[#This Row],[Rooms Available]]*100</f>
        <v>10</v>
      </c>
      <c r="Q319" s="1">
        <f>Table1[[#This Row],[Revenue]]/Table1[[#This Row],[Rooms Booked]]</f>
        <v>33928</v>
      </c>
    </row>
    <row r="320" spans="1:17" x14ac:dyDescent="0.25">
      <c r="A320" s="1" t="s">
        <v>17</v>
      </c>
      <c r="B320" s="1" t="s">
        <v>23</v>
      </c>
      <c r="C320" s="1" t="s">
        <v>233</v>
      </c>
      <c r="D320" s="1">
        <v>27036</v>
      </c>
      <c r="E320" s="1" t="s">
        <v>294</v>
      </c>
      <c r="F320" s="1" t="s">
        <v>297</v>
      </c>
      <c r="G320" s="1">
        <v>50</v>
      </c>
      <c r="H320" s="1">
        <v>2</v>
      </c>
      <c r="I320" s="1" t="s">
        <v>298</v>
      </c>
      <c r="J320" s="1">
        <v>21</v>
      </c>
      <c r="K320" s="1" t="s">
        <v>300</v>
      </c>
      <c r="L320" s="1" t="s">
        <v>305</v>
      </c>
      <c r="M320" s="1">
        <v>1</v>
      </c>
      <c r="N320" s="1">
        <v>5</v>
      </c>
      <c r="O320" s="1">
        <v>25684.2</v>
      </c>
      <c r="P320" s="1">
        <f>Table1[[#This Row],[Rooms Booked]]/Table1[[#This Row],[Rooms Available]]*100</f>
        <v>4</v>
      </c>
      <c r="Q320" s="1">
        <f>Table1[[#This Row],[Revenue]]/Table1[[#This Row],[Rooms Booked]]</f>
        <v>13518</v>
      </c>
    </row>
    <row r="321" spans="1:17" x14ac:dyDescent="0.25">
      <c r="A321" s="1" t="s">
        <v>16</v>
      </c>
      <c r="B321" s="1" t="s">
        <v>22</v>
      </c>
      <c r="C321" s="1" t="s">
        <v>35</v>
      </c>
      <c r="D321" s="1">
        <v>39555</v>
      </c>
      <c r="E321" s="1" t="s">
        <v>294</v>
      </c>
      <c r="F321" s="1" t="s">
        <v>295</v>
      </c>
      <c r="G321" s="1">
        <v>50</v>
      </c>
      <c r="H321" s="1">
        <v>3</v>
      </c>
      <c r="I321" s="1" t="s">
        <v>298</v>
      </c>
      <c r="J321" s="1">
        <v>6</v>
      </c>
      <c r="K321" s="1" t="s">
        <v>301</v>
      </c>
      <c r="L321" s="1" t="s">
        <v>305</v>
      </c>
      <c r="M321" s="1">
        <v>1</v>
      </c>
      <c r="N321" s="1">
        <v>15</v>
      </c>
      <c r="O321" s="1">
        <v>33621.75</v>
      </c>
      <c r="P321" s="1">
        <f>Table1[[#This Row],[Rooms Booked]]/Table1[[#This Row],[Rooms Available]]*100</f>
        <v>6</v>
      </c>
      <c r="Q321" s="1">
        <f>Table1[[#This Row],[Revenue]]/Table1[[#This Row],[Rooms Booked]]</f>
        <v>13185</v>
      </c>
    </row>
    <row r="322" spans="1:17" x14ac:dyDescent="0.25">
      <c r="A322" s="1" t="s">
        <v>19</v>
      </c>
      <c r="B322" s="1" t="s">
        <v>23</v>
      </c>
      <c r="C322" s="1" t="s">
        <v>71</v>
      </c>
      <c r="D322" s="1">
        <v>26974</v>
      </c>
      <c r="E322" s="1" t="s">
        <v>292</v>
      </c>
      <c r="F322" s="1" t="s">
        <v>297</v>
      </c>
      <c r="G322" s="1">
        <v>50</v>
      </c>
      <c r="H322" s="1">
        <v>1</v>
      </c>
      <c r="I322" s="1" t="s">
        <v>298</v>
      </c>
      <c r="J322" s="1">
        <v>6</v>
      </c>
      <c r="K322" s="1" t="s">
        <v>301</v>
      </c>
      <c r="L322" s="1" t="s">
        <v>305</v>
      </c>
      <c r="M322" s="1">
        <v>2</v>
      </c>
      <c r="N322" s="1">
        <v>5</v>
      </c>
      <c r="O322" s="1">
        <v>25625.3</v>
      </c>
      <c r="P322" s="1">
        <f>Table1[[#This Row],[Rooms Booked]]/Table1[[#This Row],[Rooms Available]]*100</f>
        <v>2</v>
      </c>
      <c r="Q322" s="1">
        <f>Table1[[#This Row],[Revenue]]/Table1[[#This Row],[Rooms Booked]]</f>
        <v>26974</v>
      </c>
    </row>
    <row r="323" spans="1:17" x14ac:dyDescent="0.25">
      <c r="A323" s="1" t="s">
        <v>16</v>
      </c>
      <c r="B323" s="1" t="s">
        <v>21</v>
      </c>
      <c r="C323" s="1" t="s">
        <v>124</v>
      </c>
      <c r="D323" s="1">
        <v>0</v>
      </c>
      <c r="E323" s="1" t="s">
        <v>291</v>
      </c>
      <c r="F323" s="1" t="s">
        <v>295</v>
      </c>
      <c r="G323" s="1">
        <v>50</v>
      </c>
      <c r="H323" s="1">
        <v>3</v>
      </c>
      <c r="I323" s="1" t="s">
        <v>299</v>
      </c>
      <c r="J323" s="1">
        <v>3</v>
      </c>
      <c r="K323" s="1" t="s">
        <v>300</v>
      </c>
      <c r="L323" s="1" t="s">
        <v>306</v>
      </c>
      <c r="M323" s="1">
        <v>1</v>
      </c>
      <c r="N323" s="1">
        <v>10</v>
      </c>
      <c r="O323" s="1">
        <v>0</v>
      </c>
      <c r="P323" s="1">
        <f>Table1[[#This Row],[Rooms Booked]]/Table1[[#This Row],[Rooms Available]]*100</f>
        <v>6</v>
      </c>
      <c r="Q323" s="1">
        <f>Table1[[#This Row],[Revenue]]/Table1[[#This Row],[Rooms Booked]]</f>
        <v>0</v>
      </c>
    </row>
    <row r="324" spans="1:17" x14ac:dyDescent="0.25">
      <c r="A324" s="1" t="s">
        <v>17</v>
      </c>
      <c r="B324" s="1" t="s">
        <v>21</v>
      </c>
      <c r="C324" s="1" t="s">
        <v>234</v>
      </c>
      <c r="D324" s="1">
        <v>86496</v>
      </c>
      <c r="E324" s="1" t="s">
        <v>293</v>
      </c>
      <c r="F324" s="1" t="s">
        <v>295</v>
      </c>
      <c r="G324" s="1">
        <v>50</v>
      </c>
      <c r="H324" s="1">
        <v>4</v>
      </c>
      <c r="I324" s="1" t="s">
        <v>298</v>
      </c>
      <c r="J324" s="1">
        <v>10</v>
      </c>
      <c r="K324" s="1" t="s">
        <v>301</v>
      </c>
      <c r="L324" s="1" t="s">
        <v>305</v>
      </c>
      <c r="M324" s="1">
        <v>3</v>
      </c>
      <c r="N324" s="1">
        <v>0</v>
      </c>
      <c r="O324" s="1">
        <v>86496</v>
      </c>
      <c r="P324" s="1">
        <f>Table1[[#This Row],[Rooms Booked]]/Table1[[#This Row],[Rooms Available]]*100</f>
        <v>8</v>
      </c>
      <c r="Q324" s="1">
        <f>Table1[[#This Row],[Revenue]]/Table1[[#This Row],[Rooms Booked]]</f>
        <v>21624</v>
      </c>
    </row>
    <row r="325" spans="1:17" x14ac:dyDescent="0.25">
      <c r="A325" s="1" t="s">
        <v>15</v>
      </c>
      <c r="B325" s="1" t="s">
        <v>21</v>
      </c>
      <c r="C325" s="1" t="s">
        <v>98</v>
      </c>
      <c r="D325" s="1">
        <v>103216</v>
      </c>
      <c r="E325" s="1" t="s">
        <v>291</v>
      </c>
      <c r="F325" s="1" t="s">
        <v>295</v>
      </c>
      <c r="G325" s="1">
        <v>50</v>
      </c>
      <c r="H325" s="1">
        <v>2</v>
      </c>
      <c r="I325" s="1" t="s">
        <v>298</v>
      </c>
      <c r="J325" s="1">
        <v>4</v>
      </c>
      <c r="K325" s="1" t="s">
        <v>301</v>
      </c>
      <c r="L325" s="1" t="s">
        <v>305</v>
      </c>
      <c r="M325" s="1">
        <v>3</v>
      </c>
      <c r="N325" s="1">
        <v>0</v>
      </c>
      <c r="O325" s="1">
        <v>103216</v>
      </c>
      <c r="P325" s="1">
        <f>Table1[[#This Row],[Rooms Booked]]/Table1[[#This Row],[Rooms Available]]*100</f>
        <v>4</v>
      </c>
      <c r="Q325" s="1">
        <f>Table1[[#This Row],[Revenue]]/Table1[[#This Row],[Rooms Booked]]</f>
        <v>51608</v>
      </c>
    </row>
    <row r="326" spans="1:17" x14ac:dyDescent="0.25">
      <c r="A326" s="1" t="s">
        <v>16</v>
      </c>
      <c r="B326" s="1" t="s">
        <v>22</v>
      </c>
      <c r="C326" s="1" t="s">
        <v>126</v>
      </c>
      <c r="D326" s="1">
        <v>0</v>
      </c>
      <c r="E326" s="1" t="s">
        <v>294</v>
      </c>
      <c r="F326" s="1" t="s">
        <v>296</v>
      </c>
      <c r="G326" s="1">
        <v>50</v>
      </c>
      <c r="H326" s="1">
        <v>4</v>
      </c>
      <c r="I326" s="1" t="s">
        <v>299</v>
      </c>
      <c r="J326" s="1">
        <v>8</v>
      </c>
      <c r="K326" s="1" t="s">
        <v>301</v>
      </c>
      <c r="L326" s="1" t="s">
        <v>302</v>
      </c>
      <c r="M326" s="1">
        <v>4</v>
      </c>
      <c r="N326" s="1">
        <v>0</v>
      </c>
      <c r="O326" s="1">
        <v>0</v>
      </c>
      <c r="P326" s="1">
        <f>Table1[[#This Row],[Rooms Booked]]/Table1[[#This Row],[Rooms Available]]*100</f>
        <v>8</v>
      </c>
      <c r="Q326" s="1">
        <f>Table1[[#This Row],[Revenue]]/Table1[[#This Row],[Rooms Booked]]</f>
        <v>0</v>
      </c>
    </row>
    <row r="327" spans="1:17" x14ac:dyDescent="0.25">
      <c r="A327" s="1" t="s">
        <v>17</v>
      </c>
      <c r="B327" s="1" t="s">
        <v>22</v>
      </c>
      <c r="C327" s="1" t="s">
        <v>52</v>
      </c>
      <c r="D327" s="1">
        <v>57276</v>
      </c>
      <c r="E327" s="1" t="s">
        <v>293</v>
      </c>
      <c r="F327" s="1" t="s">
        <v>296</v>
      </c>
      <c r="G327" s="1">
        <v>50</v>
      </c>
      <c r="H327" s="1">
        <v>3</v>
      </c>
      <c r="I327" s="1" t="s">
        <v>298</v>
      </c>
      <c r="J327" s="1">
        <v>8</v>
      </c>
      <c r="K327" s="1" t="s">
        <v>301</v>
      </c>
      <c r="L327" s="1" t="s">
        <v>304</v>
      </c>
      <c r="M327" s="1">
        <v>1</v>
      </c>
      <c r="N327" s="1">
        <v>0</v>
      </c>
      <c r="O327" s="1">
        <v>57276</v>
      </c>
      <c r="P327" s="1">
        <f>Table1[[#This Row],[Rooms Booked]]/Table1[[#This Row],[Rooms Available]]*100</f>
        <v>6</v>
      </c>
      <c r="Q327" s="1">
        <f>Table1[[#This Row],[Revenue]]/Table1[[#This Row],[Rooms Booked]]</f>
        <v>19092</v>
      </c>
    </row>
    <row r="328" spans="1:17" x14ac:dyDescent="0.25">
      <c r="A328" s="1" t="s">
        <v>18</v>
      </c>
      <c r="B328" s="1" t="s">
        <v>21</v>
      </c>
      <c r="C328" s="1" t="s">
        <v>129</v>
      </c>
      <c r="D328" s="1">
        <v>85584</v>
      </c>
      <c r="E328" s="1" t="s">
        <v>293</v>
      </c>
      <c r="F328" s="1" t="s">
        <v>296</v>
      </c>
      <c r="G328" s="1">
        <v>50</v>
      </c>
      <c r="H328" s="1">
        <v>4</v>
      </c>
      <c r="I328" s="1" t="s">
        <v>298</v>
      </c>
      <c r="J328" s="1">
        <v>1</v>
      </c>
      <c r="K328" s="1" t="s">
        <v>300</v>
      </c>
      <c r="L328" s="1" t="s">
        <v>306</v>
      </c>
      <c r="M328" s="1">
        <v>1</v>
      </c>
      <c r="N328" s="1">
        <v>0</v>
      </c>
      <c r="O328" s="1">
        <v>85584</v>
      </c>
      <c r="P328" s="1">
        <f>Table1[[#This Row],[Rooms Booked]]/Table1[[#This Row],[Rooms Available]]*100</f>
        <v>8</v>
      </c>
      <c r="Q328" s="1">
        <f>Table1[[#This Row],[Revenue]]/Table1[[#This Row],[Rooms Booked]]</f>
        <v>21396</v>
      </c>
    </row>
    <row r="329" spans="1:17" x14ac:dyDescent="0.25">
      <c r="A329" s="1" t="s">
        <v>17</v>
      </c>
      <c r="B329" s="1" t="s">
        <v>22</v>
      </c>
      <c r="C329" s="1" t="s">
        <v>235</v>
      </c>
      <c r="D329" s="1">
        <v>130680</v>
      </c>
      <c r="E329" s="1" t="s">
        <v>294</v>
      </c>
      <c r="F329" s="1" t="s">
        <v>297</v>
      </c>
      <c r="G329" s="1">
        <v>50</v>
      </c>
      <c r="H329" s="1">
        <v>4</v>
      </c>
      <c r="I329" s="1" t="s">
        <v>298</v>
      </c>
      <c r="J329" s="1">
        <v>23</v>
      </c>
      <c r="K329" s="1" t="s">
        <v>301</v>
      </c>
      <c r="L329" s="1" t="s">
        <v>304</v>
      </c>
      <c r="M329" s="1">
        <v>1</v>
      </c>
      <c r="N329" s="1">
        <v>15</v>
      </c>
      <c r="O329" s="1">
        <v>111078</v>
      </c>
      <c r="P329" s="1">
        <f>Table1[[#This Row],[Rooms Booked]]/Table1[[#This Row],[Rooms Available]]*100</f>
        <v>8</v>
      </c>
      <c r="Q329" s="1">
        <f>Table1[[#This Row],[Revenue]]/Table1[[#This Row],[Rooms Booked]]</f>
        <v>32670</v>
      </c>
    </row>
    <row r="330" spans="1:17" x14ac:dyDescent="0.25">
      <c r="A330" s="1" t="s">
        <v>20</v>
      </c>
      <c r="B330" s="1" t="s">
        <v>22</v>
      </c>
      <c r="C330" s="1" t="s">
        <v>236</v>
      </c>
      <c r="D330" s="1">
        <v>51188</v>
      </c>
      <c r="E330" s="1" t="s">
        <v>291</v>
      </c>
      <c r="F330" s="1" t="s">
        <v>297</v>
      </c>
      <c r="G330" s="1">
        <v>50</v>
      </c>
      <c r="H330" s="1">
        <v>2</v>
      </c>
      <c r="I330" s="1" t="s">
        <v>298</v>
      </c>
      <c r="J330" s="1">
        <v>14</v>
      </c>
      <c r="K330" s="1" t="s">
        <v>300</v>
      </c>
      <c r="L330" s="1" t="s">
        <v>305</v>
      </c>
      <c r="M330" s="1">
        <v>1</v>
      </c>
      <c r="N330" s="1">
        <v>5</v>
      </c>
      <c r="O330" s="1">
        <v>48628.6</v>
      </c>
      <c r="P330" s="1">
        <f>Table1[[#This Row],[Rooms Booked]]/Table1[[#This Row],[Rooms Available]]*100</f>
        <v>4</v>
      </c>
      <c r="Q330" s="1">
        <f>Table1[[#This Row],[Revenue]]/Table1[[#This Row],[Rooms Booked]]</f>
        <v>25594</v>
      </c>
    </row>
    <row r="331" spans="1:17" x14ac:dyDescent="0.25">
      <c r="A331" s="1" t="s">
        <v>16</v>
      </c>
      <c r="B331" s="1" t="s">
        <v>23</v>
      </c>
      <c r="C331" s="1" t="s">
        <v>201</v>
      </c>
      <c r="D331" s="1">
        <v>83360</v>
      </c>
      <c r="E331" s="1" t="s">
        <v>294</v>
      </c>
      <c r="F331" s="1" t="s">
        <v>296</v>
      </c>
      <c r="G331" s="1">
        <v>50</v>
      </c>
      <c r="H331" s="1">
        <v>4</v>
      </c>
      <c r="I331" s="1" t="s">
        <v>298</v>
      </c>
      <c r="J331" s="1">
        <v>20</v>
      </c>
      <c r="K331" s="1" t="s">
        <v>301</v>
      </c>
      <c r="L331" s="1" t="s">
        <v>302</v>
      </c>
      <c r="M331" s="1">
        <v>2</v>
      </c>
      <c r="N331" s="1">
        <v>0</v>
      </c>
      <c r="O331" s="1">
        <v>83360</v>
      </c>
      <c r="P331" s="1">
        <f>Table1[[#This Row],[Rooms Booked]]/Table1[[#This Row],[Rooms Available]]*100</f>
        <v>8</v>
      </c>
      <c r="Q331" s="1">
        <f>Table1[[#This Row],[Revenue]]/Table1[[#This Row],[Rooms Booked]]</f>
        <v>20840</v>
      </c>
    </row>
    <row r="332" spans="1:17" x14ac:dyDescent="0.25">
      <c r="A332" s="1" t="s">
        <v>17</v>
      </c>
      <c r="B332" s="1" t="s">
        <v>21</v>
      </c>
      <c r="C332" s="1" t="s">
        <v>237</v>
      </c>
      <c r="D332" s="1">
        <v>98112</v>
      </c>
      <c r="E332" s="1" t="s">
        <v>292</v>
      </c>
      <c r="F332" s="1" t="s">
        <v>297</v>
      </c>
      <c r="G332" s="1">
        <v>50</v>
      </c>
      <c r="H332" s="1">
        <v>3</v>
      </c>
      <c r="I332" s="1" t="s">
        <v>298</v>
      </c>
      <c r="J332" s="1">
        <v>30</v>
      </c>
      <c r="K332" s="1" t="s">
        <v>301</v>
      </c>
      <c r="L332" s="1" t="s">
        <v>302</v>
      </c>
      <c r="M332" s="1">
        <v>3</v>
      </c>
      <c r="N332" s="1">
        <v>0</v>
      </c>
      <c r="O332" s="1">
        <v>98112</v>
      </c>
      <c r="P332" s="1">
        <f>Table1[[#This Row],[Rooms Booked]]/Table1[[#This Row],[Rooms Available]]*100</f>
        <v>6</v>
      </c>
      <c r="Q332" s="1">
        <f>Table1[[#This Row],[Revenue]]/Table1[[#This Row],[Rooms Booked]]</f>
        <v>32704</v>
      </c>
    </row>
    <row r="333" spans="1:17" x14ac:dyDescent="0.25">
      <c r="A333" s="1" t="s">
        <v>16</v>
      </c>
      <c r="B333" s="1" t="s">
        <v>21</v>
      </c>
      <c r="C333" s="1" t="s">
        <v>138</v>
      </c>
      <c r="D333" s="1">
        <v>19204</v>
      </c>
      <c r="E333" s="1" t="s">
        <v>294</v>
      </c>
      <c r="F333" s="1" t="s">
        <v>295</v>
      </c>
      <c r="G333" s="1">
        <v>50</v>
      </c>
      <c r="H333" s="1">
        <v>4</v>
      </c>
      <c r="I333" s="1" t="s">
        <v>298</v>
      </c>
      <c r="J333" s="1">
        <v>2</v>
      </c>
      <c r="K333" s="1" t="s">
        <v>300</v>
      </c>
      <c r="L333" s="1" t="s">
        <v>304</v>
      </c>
      <c r="M333" s="1">
        <v>3</v>
      </c>
      <c r="N333" s="1">
        <v>0</v>
      </c>
      <c r="O333" s="1">
        <v>19204</v>
      </c>
      <c r="P333" s="1">
        <f>Table1[[#This Row],[Rooms Booked]]/Table1[[#This Row],[Rooms Available]]*100</f>
        <v>8</v>
      </c>
      <c r="Q333" s="1">
        <f>Table1[[#This Row],[Revenue]]/Table1[[#This Row],[Rooms Booked]]</f>
        <v>4801</v>
      </c>
    </row>
    <row r="334" spans="1:17" x14ac:dyDescent="0.25">
      <c r="A334" s="1" t="s">
        <v>15</v>
      </c>
      <c r="B334" s="1" t="s">
        <v>21</v>
      </c>
      <c r="C334" s="1" t="s">
        <v>44</v>
      </c>
      <c r="D334" s="1">
        <v>70368</v>
      </c>
      <c r="E334" s="1" t="s">
        <v>291</v>
      </c>
      <c r="F334" s="1" t="s">
        <v>296</v>
      </c>
      <c r="G334" s="1">
        <v>50</v>
      </c>
      <c r="H334" s="1">
        <v>4</v>
      </c>
      <c r="I334" s="1" t="s">
        <v>298</v>
      </c>
      <c r="J334" s="1">
        <v>1</v>
      </c>
      <c r="K334" s="1" t="s">
        <v>301</v>
      </c>
      <c r="L334" s="1" t="s">
        <v>302</v>
      </c>
      <c r="M334" s="1">
        <v>4</v>
      </c>
      <c r="N334" s="1">
        <v>0</v>
      </c>
      <c r="O334" s="1">
        <v>70368</v>
      </c>
      <c r="P334" s="1">
        <f>Table1[[#This Row],[Rooms Booked]]/Table1[[#This Row],[Rooms Available]]*100</f>
        <v>8</v>
      </c>
      <c r="Q334" s="1">
        <f>Table1[[#This Row],[Revenue]]/Table1[[#This Row],[Rooms Booked]]</f>
        <v>17592</v>
      </c>
    </row>
    <row r="335" spans="1:17" x14ac:dyDescent="0.25">
      <c r="A335" s="1" t="s">
        <v>16</v>
      </c>
      <c r="B335" s="1" t="s">
        <v>23</v>
      </c>
      <c r="C335" s="1" t="s">
        <v>110</v>
      </c>
      <c r="D335" s="1">
        <v>33070</v>
      </c>
      <c r="E335" s="1" t="s">
        <v>292</v>
      </c>
      <c r="F335" s="1" t="s">
        <v>297</v>
      </c>
      <c r="G335" s="1">
        <v>50</v>
      </c>
      <c r="H335" s="1">
        <v>5</v>
      </c>
      <c r="I335" s="1" t="s">
        <v>298</v>
      </c>
      <c r="J335" s="1">
        <v>15</v>
      </c>
      <c r="K335" s="1" t="s">
        <v>301</v>
      </c>
      <c r="L335" s="1" t="s">
        <v>303</v>
      </c>
      <c r="M335" s="1">
        <v>4</v>
      </c>
      <c r="N335" s="1">
        <v>10</v>
      </c>
      <c r="O335" s="1">
        <v>29763</v>
      </c>
      <c r="P335" s="1">
        <f>Table1[[#This Row],[Rooms Booked]]/Table1[[#This Row],[Rooms Available]]*100</f>
        <v>10</v>
      </c>
      <c r="Q335" s="1">
        <f>Table1[[#This Row],[Revenue]]/Table1[[#This Row],[Rooms Booked]]</f>
        <v>6614</v>
      </c>
    </row>
    <row r="336" spans="1:17" x14ac:dyDescent="0.25">
      <c r="A336" s="1" t="s">
        <v>16</v>
      </c>
      <c r="B336" s="1" t="s">
        <v>23</v>
      </c>
      <c r="C336" s="1" t="s">
        <v>45</v>
      </c>
      <c r="D336" s="1">
        <v>41240</v>
      </c>
      <c r="E336" s="1" t="s">
        <v>291</v>
      </c>
      <c r="F336" s="1" t="s">
        <v>295</v>
      </c>
      <c r="G336" s="1">
        <v>50</v>
      </c>
      <c r="H336" s="1">
        <v>2</v>
      </c>
      <c r="I336" s="1" t="s">
        <v>298</v>
      </c>
      <c r="J336" s="1">
        <v>14</v>
      </c>
      <c r="K336" s="1" t="s">
        <v>300</v>
      </c>
      <c r="L336" s="1" t="s">
        <v>304</v>
      </c>
      <c r="M336" s="1">
        <v>5</v>
      </c>
      <c r="N336" s="1">
        <v>15</v>
      </c>
      <c r="O336" s="1">
        <v>35054</v>
      </c>
      <c r="P336" s="1">
        <f>Table1[[#This Row],[Rooms Booked]]/Table1[[#This Row],[Rooms Available]]*100</f>
        <v>4</v>
      </c>
      <c r="Q336" s="1">
        <f>Table1[[#This Row],[Revenue]]/Table1[[#This Row],[Rooms Booked]]</f>
        <v>20620</v>
      </c>
    </row>
    <row r="337" spans="1:17" x14ac:dyDescent="0.25">
      <c r="A337" s="1" t="s">
        <v>19</v>
      </c>
      <c r="B337" s="1" t="s">
        <v>22</v>
      </c>
      <c r="C337" s="1" t="s">
        <v>36</v>
      </c>
      <c r="D337" s="1">
        <v>41064</v>
      </c>
      <c r="E337" s="1" t="s">
        <v>292</v>
      </c>
      <c r="F337" s="1" t="s">
        <v>295</v>
      </c>
      <c r="G337" s="1">
        <v>50</v>
      </c>
      <c r="H337" s="1">
        <v>2</v>
      </c>
      <c r="I337" s="1" t="s">
        <v>298</v>
      </c>
      <c r="J337" s="1">
        <v>16</v>
      </c>
      <c r="K337" s="1" t="s">
        <v>301</v>
      </c>
      <c r="L337" s="1" t="s">
        <v>306</v>
      </c>
      <c r="M337" s="1">
        <v>3</v>
      </c>
      <c r="N337" s="1">
        <v>10</v>
      </c>
      <c r="O337" s="1">
        <v>36957.599999999999</v>
      </c>
      <c r="P337" s="1">
        <f>Table1[[#This Row],[Rooms Booked]]/Table1[[#This Row],[Rooms Available]]*100</f>
        <v>4</v>
      </c>
      <c r="Q337" s="1">
        <f>Table1[[#This Row],[Revenue]]/Table1[[#This Row],[Rooms Booked]]</f>
        <v>20532</v>
      </c>
    </row>
    <row r="338" spans="1:17" x14ac:dyDescent="0.25">
      <c r="A338" s="1" t="s">
        <v>19</v>
      </c>
      <c r="B338" s="1" t="s">
        <v>23</v>
      </c>
      <c r="C338" s="1" t="s">
        <v>84</v>
      </c>
      <c r="D338" s="1">
        <v>106092</v>
      </c>
      <c r="E338" s="1" t="s">
        <v>291</v>
      </c>
      <c r="F338" s="1" t="s">
        <v>296</v>
      </c>
      <c r="G338" s="1">
        <v>50</v>
      </c>
      <c r="H338" s="1">
        <v>3</v>
      </c>
      <c r="I338" s="1" t="s">
        <v>298</v>
      </c>
      <c r="J338" s="1">
        <v>2</v>
      </c>
      <c r="K338" s="1" t="s">
        <v>301</v>
      </c>
      <c r="L338" s="1" t="s">
        <v>303</v>
      </c>
      <c r="M338" s="1">
        <v>2</v>
      </c>
      <c r="N338" s="1">
        <v>15</v>
      </c>
      <c r="O338" s="1">
        <v>90178.2</v>
      </c>
      <c r="P338" s="1">
        <f>Table1[[#This Row],[Rooms Booked]]/Table1[[#This Row],[Rooms Available]]*100</f>
        <v>6</v>
      </c>
      <c r="Q338" s="1">
        <f>Table1[[#This Row],[Revenue]]/Table1[[#This Row],[Rooms Booked]]</f>
        <v>35364</v>
      </c>
    </row>
    <row r="339" spans="1:17" x14ac:dyDescent="0.25">
      <c r="A339" s="1" t="s">
        <v>19</v>
      </c>
      <c r="B339" s="1" t="s">
        <v>23</v>
      </c>
      <c r="C339" s="1" t="s">
        <v>238</v>
      </c>
      <c r="D339" s="1">
        <v>138890</v>
      </c>
      <c r="E339" s="1" t="s">
        <v>292</v>
      </c>
      <c r="F339" s="1" t="s">
        <v>295</v>
      </c>
      <c r="G339" s="1">
        <v>50</v>
      </c>
      <c r="H339" s="1">
        <v>5</v>
      </c>
      <c r="I339" s="1" t="s">
        <v>298</v>
      </c>
      <c r="J339" s="1">
        <v>1</v>
      </c>
      <c r="K339" s="1" t="s">
        <v>300</v>
      </c>
      <c r="L339" s="1" t="s">
        <v>303</v>
      </c>
      <c r="M339" s="1">
        <v>2</v>
      </c>
      <c r="N339" s="1">
        <v>5</v>
      </c>
      <c r="O339" s="1">
        <v>131945.5</v>
      </c>
      <c r="P339" s="1">
        <f>Table1[[#This Row],[Rooms Booked]]/Table1[[#This Row],[Rooms Available]]*100</f>
        <v>10</v>
      </c>
      <c r="Q339" s="1">
        <f>Table1[[#This Row],[Revenue]]/Table1[[#This Row],[Rooms Booked]]</f>
        <v>27778</v>
      </c>
    </row>
    <row r="340" spans="1:17" x14ac:dyDescent="0.25">
      <c r="A340" s="1" t="s">
        <v>16</v>
      </c>
      <c r="B340" s="1" t="s">
        <v>21</v>
      </c>
      <c r="C340" s="1" t="s">
        <v>139</v>
      </c>
      <c r="D340" s="1">
        <v>34632</v>
      </c>
      <c r="E340" s="1" t="s">
        <v>294</v>
      </c>
      <c r="F340" s="1" t="s">
        <v>295</v>
      </c>
      <c r="G340" s="1">
        <v>50</v>
      </c>
      <c r="H340" s="1">
        <v>3</v>
      </c>
      <c r="I340" s="1" t="s">
        <v>298</v>
      </c>
      <c r="J340" s="1">
        <v>6</v>
      </c>
      <c r="K340" s="1" t="s">
        <v>300</v>
      </c>
      <c r="L340" s="1" t="s">
        <v>305</v>
      </c>
      <c r="M340" s="1">
        <v>2</v>
      </c>
      <c r="N340" s="1">
        <v>0</v>
      </c>
      <c r="O340" s="1">
        <v>34632</v>
      </c>
      <c r="P340" s="1">
        <f>Table1[[#This Row],[Rooms Booked]]/Table1[[#This Row],[Rooms Available]]*100</f>
        <v>6</v>
      </c>
      <c r="Q340" s="1">
        <f>Table1[[#This Row],[Revenue]]/Table1[[#This Row],[Rooms Booked]]</f>
        <v>11544</v>
      </c>
    </row>
    <row r="341" spans="1:17" x14ac:dyDescent="0.25">
      <c r="A341" s="1" t="s">
        <v>17</v>
      </c>
      <c r="B341" s="1" t="s">
        <v>23</v>
      </c>
      <c r="C341" s="1" t="s">
        <v>178</v>
      </c>
      <c r="D341" s="1">
        <v>138348</v>
      </c>
      <c r="E341" s="1" t="s">
        <v>294</v>
      </c>
      <c r="F341" s="1" t="s">
        <v>295</v>
      </c>
      <c r="G341" s="1">
        <v>50</v>
      </c>
      <c r="H341" s="1">
        <v>3</v>
      </c>
      <c r="I341" s="1" t="s">
        <v>298</v>
      </c>
      <c r="J341" s="1">
        <v>5</v>
      </c>
      <c r="K341" s="1" t="s">
        <v>301</v>
      </c>
      <c r="L341" s="1" t="s">
        <v>305</v>
      </c>
      <c r="M341" s="1">
        <v>3</v>
      </c>
      <c r="N341" s="1">
        <v>15</v>
      </c>
      <c r="O341" s="1">
        <v>117595.8</v>
      </c>
      <c r="P341" s="1">
        <f>Table1[[#This Row],[Rooms Booked]]/Table1[[#This Row],[Rooms Available]]*100</f>
        <v>6</v>
      </c>
      <c r="Q341" s="1">
        <f>Table1[[#This Row],[Revenue]]/Table1[[#This Row],[Rooms Booked]]</f>
        <v>46116</v>
      </c>
    </row>
    <row r="342" spans="1:17" x14ac:dyDescent="0.25">
      <c r="A342" s="1" t="s">
        <v>16</v>
      </c>
      <c r="B342" s="1" t="s">
        <v>22</v>
      </c>
      <c r="C342" s="1" t="s">
        <v>52</v>
      </c>
      <c r="D342" s="1">
        <v>23942</v>
      </c>
      <c r="E342" s="1" t="s">
        <v>292</v>
      </c>
      <c r="F342" s="1" t="s">
        <v>296</v>
      </c>
      <c r="G342" s="1">
        <v>50</v>
      </c>
      <c r="H342" s="1">
        <v>1</v>
      </c>
      <c r="I342" s="1" t="s">
        <v>298</v>
      </c>
      <c r="J342" s="1">
        <v>25</v>
      </c>
      <c r="K342" s="1" t="s">
        <v>301</v>
      </c>
      <c r="L342" s="1" t="s">
        <v>306</v>
      </c>
      <c r="M342" s="1">
        <v>5</v>
      </c>
      <c r="N342" s="1">
        <v>10</v>
      </c>
      <c r="O342" s="1">
        <v>21547.8</v>
      </c>
      <c r="P342" s="1">
        <f>Table1[[#This Row],[Rooms Booked]]/Table1[[#This Row],[Rooms Available]]*100</f>
        <v>2</v>
      </c>
      <c r="Q342" s="1">
        <f>Table1[[#This Row],[Revenue]]/Table1[[#This Row],[Rooms Booked]]</f>
        <v>23942</v>
      </c>
    </row>
    <row r="343" spans="1:17" x14ac:dyDescent="0.25">
      <c r="A343" s="1" t="s">
        <v>15</v>
      </c>
      <c r="B343" s="1" t="s">
        <v>23</v>
      </c>
      <c r="C343" s="1" t="s">
        <v>239</v>
      </c>
      <c r="D343" s="1">
        <v>53680</v>
      </c>
      <c r="E343" s="1" t="s">
        <v>291</v>
      </c>
      <c r="F343" s="1" t="s">
        <v>295</v>
      </c>
      <c r="G343" s="1">
        <v>50</v>
      </c>
      <c r="H343" s="1">
        <v>2</v>
      </c>
      <c r="I343" s="1" t="s">
        <v>298</v>
      </c>
      <c r="J343" s="1">
        <v>20</v>
      </c>
      <c r="K343" s="1" t="s">
        <v>300</v>
      </c>
      <c r="L343" s="1" t="s">
        <v>303</v>
      </c>
      <c r="M343" s="1">
        <v>1</v>
      </c>
      <c r="N343" s="1">
        <v>15</v>
      </c>
      <c r="O343" s="1">
        <v>45628</v>
      </c>
      <c r="P343" s="1">
        <f>Table1[[#This Row],[Rooms Booked]]/Table1[[#This Row],[Rooms Available]]*100</f>
        <v>4</v>
      </c>
      <c r="Q343" s="1">
        <f>Table1[[#This Row],[Revenue]]/Table1[[#This Row],[Rooms Booked]]</f>
        <v>26840</v>
      </c>
    </row>
    <row r="344" spans="1:17" x14ac:dyDescent="0.25">
      <c r="A344" s="1" t="s">
        <v>15</v>
      </c>
      <c r="B344" s="1" t="s">
        <v>21</v>
      </c>
      <c r="C344" s="1" t="s">
        <v>169</v>
      </c>
      <c r="D344" s="1">
        <v>19476</v>
      </c>
      <c r="E344" s="1" t="s">
        <v>291</v>
      </c>
      <c r="F344" s="1" t="s">
        <v>295</v>
      </c>
      <c r="G344" s="1">
        <v>50</v>
      </c>
      <c r="H344" s="1">
        <v>1</v>
      </c>
      <c r="I344" s="1" t="s">
        <v>298</v>
      </c>
      <c r="J344" s="1">
        <v>1</v>
      </c>
      <c r="K344" s="1" t="s">
        <v>301</v>
      </c>
      <c r="L344" s="1" t="s">
        <v>304</v>
      </c>
      <c r="M344" s="1">
        <v>2</v>
      </c>
      <c r="N344" s="1">
        <v>0</v>
      </c>
      <c r="O344" s="1">
        <v>19476</v>
      </c>
      <c r="P344" s="1">
        <f>Table1[[#This Row],[Rooms Booked]]/Table1[[#This Row],[Rooms Available]]*100</f>
        <v>2</v>
      </c>
      <c r="Q344" s="1">
        <f>Table1[[#This Row],[Revenue]]/Table1[[#This Row],[Rooms Booked]]</f>
        <v>19476</v>
      </c>
    </row>
    <row r="345" spans="1:17" x14ac:dyDescent="0.25">
      <c r="A345" s="1" t="s">
        <v>17</v>
      </c>
      <c r="B345" s="1" t="s">
        <v>23</v>
      </c>
      <c r="C345" s="1" t="s">
        <v>240</v>
      </c>
      <c r="D345" s="1">
        <v>26892</v>
      </c>
      <c r="E345" s="1" t="s">
        <v>294</v>
      </c>
      <c r="F345" s="1" t="s">
        <v>295</v>
      </c>
      <c r="G345" s="1">
        <v>50</v>
      </c>
      <c r="H345" s="1">
        <v>2</v>
      </c>
      <c r="I345" s="1" t="s">
        <v>298</v>
      </c>
      <c r="J345" s="1">
        <v>5</v>
      </c>
      <c r="K345" s="1" t="s">
        <v>300</v>
      </c>
      <c r="L345" s="1" t="s">
        <v>306</v>
      </c>
      <c r="M345" s="1">
        <v>5</v>
      </c>
      <c r="N345" s="1">
        <v>15</v>
      </c>
      <c r="O345" s="1">
        <v>22858.2</v>
      </c>
      <c r="P345" s="1">
        <f>Table1[[#This Row],[Rooms Booked]]/Table1[[#This Row],[Rooms Available]]*100</f>
        <v>4</v>
      </c>
      <c r="Q345" s="1">
        <f>Table1[[#This Row],[Revenue]]/Table1[[#This Row],[Rooms Booked]]</f>
        <v>13446</v>
      </c>
    </row>
    <row r="346" spans="1:17" x14ac:dyDescent="0.25">
      <c r="A346" s="1" t="s">
        <v>15</v>
      </c>
      <c r="B346" s="1" t="s">
        <v>21</v>
      </c>
      <c r="C346" s="1" t="s">
        <v>111</v>
      </c>
      <c r="D346" s="1">
        <v>113008</v>
      </c>
      <c r="E346" s="1" t="s">
        <v>294</v>
      </c>
      <c r="F346" s="1" t="s">
        <v>297</v>
      </c>
      <c r="G346" s="1">
        <v>50</v>
      </c>
      <c r="H346" s="1">
        <v>2</v>
      </c>
      <c r="I346" s="1" t="s">
        <v>298</v>
      </c>
      <c r="J346" s="1">
        <v>6</v>
      </c>
      <c r="K346" s="1" t="s">
        <v>300</v>
      </c>
      <c r="L346" s="1" t="s">
        <v>306</v>
      </c>
      <c r="M346" s="1">
        <v>3</v>
      </c>
      <c r="N346" s="1">
        <v>10</v>
      </c>
      <c r="O346" s="1">
        <v>101707.2</v>
      </c>
      <c r="P346" s="1">
        <f>Table1[[#This Row],[Rooms Booked]]/Table1[[#This Row],[Rooms Available]]*100</f>
        <v>4</v>
      </c>
      <c r="Q346" s="1">
        <f>Table1[[#This Row],[Revenue]]/Table1[[#This Row],[Rooms Booked]]</f>
        <v>56504</v>
      </c>
    </row>
    <row r="347" spans="1:17" x14ac:dyDescent="0.25">
      <c r="A347" s="1" t="s">
        <v>18</v>
      </c>
      <c r="B347" s="1" t="s">
        <v>21</v>
      </c>
      <c r="C347" s="1" t="s">
        <v>241</v>
      </c>
      <c r="D347" s="1">
        <v>20436</v>
      </c>
      <c r="E347" s="1" t="s">
        <v>291</v>
      </c>
      <c r="F347" s="1" t="s">
        <v>296</v>
      </c>
      <c r="G347" s="1">
        <v>50</v>
      </c>
      <c r="H347" s="1">
        <v>1</v>
      </c>
      <c r="I347" s="1" t="s">
        <v>298</v>
      </c>
      <c r="J347" s="1">
        <v>2</v>
      </c>
      <c r="K347" s="1" t="s">
        <v>301</v>
      </c>
      <c r="L347" s="1" t="s">
        <v>303</v>
      </c>
      <c r="M347" s="1">
        <v>4</v>
      </c>
      <c r="N347" s="1">
        <v>10</v>
      </c>
      <c r="O347" s="1">
        <v>18392.400000000001</v>
      </c>
      <c r="P347" s="1">
        <f>Table1[[#This Row],[Rooms Booked]]/Table1[[#This Row],[Rooms Available]]*100</f>
        <v>2</v>
      </c>
      <c r="Q347" s="1">
        <f>Table1[[#This Row],[Revenue]]/Table1[[#This Row],[Rooms Booked]]</f>
        <v>20436</v>
      </c>
    </row>
    <row r="348" spans="1:17" x14ac:dyDescent="0.25">
      <c r="A348" s="1" t="s">
        <v>20</v>
      </c>
      <c r="B348" s="1" t="s">
        <v>23</v>
      </c>
      <c r="C348" s="1" t="s">
        <v>103</v>
      </c>
      <c r="D348" s="1">
        <v>28308</v>
      </c>
      <c r="E348" s="1" t="s">
        <v>294</v>
      </c>
      <c r="F348" s="1" t="s">
        <v>295</v>
      </c>
      <c r="G348" s="1">
        <v>50</v>
      </c>
      <c r="H348" s="1">
        <v>1</v>
      </c>
      <c r="I348" s="1" t="s">
        <v>298</v>
      </c>
      <c r="J348" s="1">
        <v>18</v>
      </c>
      <c r="K348" s="1" t="s">
        <v>300</v>
      </c>
      <c r="L348" s="1" t="s">
        <v>305</v>
      </c>
      <c r="M348" s="1">
        <v>1</v>
      </c>
      <c r="N348" s="1">
        <v>0</v>
      </c>
      <c r="O348" s="1">
        <v>28308</v>
      </c>
      <c r="P348" s="1">
        <f>Table1[[#This Row],[Rooms Booked]]/Table1[[#This Row],[Rooms Available]]*100</f>
        <v>2</v>
      </c>
      <c r="Q348" s="1">
        <f>Table1[[#This Row],[Revenue]]/Table1[[#This Row],[Rooms Booked]]</f>
        <v>28308</v>
      </c>
    </row>
    <row r="349" spans="1:17" x14ac:dyDescent="0.25">
      <c r="A349" s="1" t="s">
        <v>18</v>
      </c>
      <c r="B349" s="1" t="s">
        <v>23</v>
      </c>
      <c r="C349" s="1" t="s">
        <v>242</v>
      </c>
      <c r="D349" s="1">
        <v>26994</v>
      </c>
      <c r="E349" s="1" t="s">
        <v>291</v>
      </c>
      <c r="F349" s="1" t="s">
        <v>296</v>
      </c>
      <c r="G349" s="1">
        <v>50</v>
      </c>
      <c r="H349" s="1">
        <v>3</v>
      </c>
      <c r="I349" s="1" t="s">
        <v>298</v>
      </c>
      <c r="J349" s="1">
        <v>25</v>
      </c>
      <c r="K349" s="1" t="s">
        <v>300</v>
      </c>
      <c r="L349" s="1" t="s">
        <v>302</v>
      </c>
      <c r="M349" s="1">
        <v>3</v>
      </c>
      <c r="N349" s="1">
        <v>15</v>
      </c>
      <c r="O349" s="1">
        <v>22944.9</v>
      </c>
      <c r="P349" s="1">
        <f>Table1[[#This Row],[Rooms Booked]]/Table1[[#This Row],[Rooms Available]]*100</f>
        <v>6</v>
      </c>
      <c r="Q349" s="1">
        <f>Table1[[#This Row],[Revenue]]/Table1[[#This Row],[Rooms Booked]]</f>
        <v>8998</v>
      </c>
    </row>
    <row r="350" spans="1:17" x14ac:dyDescent="0.25">
      <c r="A350" s="1" t="s">
        <v>19</v>
      </c>
      <c r="B350" s="1" t="s">
        <v>22</v>
      </c>
      <c r="C350" s="1" t="s">
        <v>169</v>
      </c>
      <c r="D350" s="1">
        <v>143088</v>
      </c>
      <c r="E350" s="1" t="s">
        <v>291</v>
      </c>
      <c r="F350" s="1" t="s">
        <v>295</v>
      </c>
      <c r="G350" s="1">
        <v>50</v>
      </c>
      <c r="H350" s="1">
        <v>3</v>
      </c>
      <c r="I350" s="1" t="s">
        <v>298</v>
      </c>
      <c r="J350" s="1">
        <v>29</v>
      </c>
      <c r="K350" s="1" t="s">
        <v>301</v>
      </c>
      <c r="L350" s="1" t="s">
        <v>304</v>
      </c>
      <c r="M350" s="1">
        <v>3</v>
      </c>
      <c r="N350" s="1">
        <v>10</v>
      </c>
      <c r="O350" s="1">
        <v>128779.2</v>
      </c>
      <c r="P350" s="1">
        <f>Table1[[#This Row],[Rooms Booked]]/Table1[[#This Row],[Rooms Available]]*100</f>
        <v>6</v>
      </c>
      <c r="Q350" s="1">
        <f>Table1[[#This Row],[Revenue]]/Table1[[#This Row],[Rooms Booked]]</f>
        <v>47696</v>
      </c>
    </row>
    <row r="351" spans="1:17" x14ac:dyDescent="0.25">
      <c r="A351" s="1" t="s">
        <v>16</v>
      </c>
      <c r="B351" s="1" t="s">
        <v>23</v>
      </c>
      <c r="C351" s="1" t="s">
        <v>125</v>
      </c>
      <c r="D351" s="1">
        <v>0</v>
      </c>
      <c r="E351" s="1" t="s">
        <v>294</v>
      </c>
      <c r="F351" s="1" t="s">
        <v>297</v>
      </c>
      <c r="G351" s="1">
        <v>50</v>
      </c>
      <c r="H351" s="1">
        <v>1</v>
      </c>
      <c r="I351" s="1" t="s">
        <v>299</v>
      </c>
      <c r="J351" s="1">
        <v>9</v>
      </c>
      <c r="K351" s="1" t="s">
        <v>300</v>
      </c>
      <c r="L351" s="1" t="s">
        <v>302</v>
      </c>
      <c r="M351" s="1">
        <v>5</v>
      </c>
      <c r="N351" s="1">
        <v>0</v>
      </c>
      <c r="O351" s="1">
        <v>0</v>
      </c>
      <c r="P351" s="1">
        <f>Table1[[#This Row],[Rooms Booked]]/Table1[[#This Row],[Rooms Available]]*100</f>
        <v>2</v>
      </c>
      <c r="Q351" s="1">
        <f>Table1[[#This Row],[Revenue]]/Table1[[#This Row],[Rooms Booked]]</f>
        <v>0</v>
      </c>
    </row>
    <row r="352" spans="1:17" x14ac:dyDescent="0.25">
      <c r="A352" s="1" t="s">
        <v>15</v>
      </c>
      <c r="B352" s="1" t="s">
        <v>21</v>
      </c>
      <c r="C352" s="1" t="s">
        <v>133</v>
      </c>
      <c r="D352" s="1">
        <v>23710</v>
      </c>
      <c r="E352" s="1" t="s">
        <v>293</v>
      </c>
      <c r="F352" s="1" t="s">
        <v>296</v>
      </c>
      <c r="G352" s="1">
        <v>50</v>
      </c>
      <c r="H352" s="1">
        <v>2</v>
      </c>
      <c r="I352" s="1" t="s">
        <v>298</v>
      </c>
      <c r="J352" s="1">
        <v>6</v>
      </c>
      <c r="K352" s="1" t="s">
        <v>301</v>
      </c>
      <c r="L352" s="1" t="s">
        <v>305</v>
      </c>
      <c r="M352" s="1">
        <v>4</v>
      </c>
      <c r="N352" s="1">
        <v>0</v>
      </c>
      <c r="O352" s="1">
        <v>23710</v>
      </c>
      <c r="P352" s="1">
        <f>Table1[[#This Row],[Rooms Booked]]/Table1[[#This Row],[Rooms Available]]*100</f>
        <v>4</v>
      </c>
      <c r="Q352" s="1">
        <f>Table1[[#This Row],[Revenue]]/Table1[[#This Row],[Rooms Booked]]</f>
        <v>11855</v>
      </c>
    </row>
    <row r="353" spans="1:17" x14ac:dyDescent="0.25">
      <c r="A353" s="1" t="s">
        <v>16</v>
      </c>
      <c r="B353" s="1" t="s">
        <v>23</v>
      </c>
      <c r="C353" s="1" t="s">
        <v>243</v>
      </c>
      <c r="D353" s="1">
        <v>132804</v>
      </c>
      <c r="E353" s="1" t="s">
        <v>294</v>
      </c>
      <c r="F353" s="1" t="s">
        <v>295</v>
      </c>
      <c r="G353" s="1">
        <v>50</v>
      </c>
      <c r="H353" s="1">
        <v>4</v>
      </c>
      <c r="I353" s="1" t="s">
        <v>298</v>
      </c>
      <c r="J353" s="1">
        <v>11</v>
      </c>
      <c r="K353" s="1" t="s">
        <v>301</v>
      </c>
      <c r="L353" s="1" t="s">
        <v>305</v>
      </c>
      <c r="M353" s="1">
        <v>3</v>
      </c>
      <c r="N353" s="1">
        <v>5</v>
      </c>
      <c r="O353" s="1">
        <v>126163.8</v>
      </c>
      <c r="P353" s="1">
        <f>Table1[[#This Row],[Rooms Booked]]/Table1[[#This Row],[Rooms Available]]*100</f>
        <v>8</v>
      </c>
      <c r="Q353" s="1">
        <f>Table1[[#This Row],[Revenue]]/Table1[[#This Row],[Rooms Booked]]</f>
        <v>33201</v>
      </c>
    </row>
    <row r="354" spans="1:17" x14ac:dyDescent="0.25">
      <c r="A354" s="1" t="s">
        <v>17</v>
      </c>
      <c r="B354" s="1" t="s">
        <v>21</v>
      </c>
      <c r="C354" s="1" t="s">
        <v>44</v>
      </c>
      <c r="D354" s="1">
        <v>14780</v>
      </c>
      <c r="E354" s="1" t="s">
        <v>292</v>
      </c>
      <c r="F354" s="1" t="s">
        <v>296</v>
      </c>
      <c r="G354" s="1">
        <v>50</v>
      </c>
      <c r="H354" s="1">
        <v>1</v>
      </c>
      <c r="I354" s="1" t="s">
        <v>298</v>
      </c>
      <c r="J354" s="1">
        <v>5</v>
      </c>
      <c r="K354" s="1" t="s">
        <v>300</v>
      </c>
      <c r="L354" s="1" t="s">
        <v>302</v>
      </c>
      <c r="M354" s="1">
        <v>1</v>
      </c>
      <c r="N354" s="1">
        <v>5</v>
      </c>
      <c r="O354" s="1">
        <v>14041</v>
      </c>
      <c r="P354" s="1">
        <f>Table1[[#This Row],[Rooms Booked]]/Table1[[#This Row],[Rooms Available]]*100</f>
        <v>2</v>
      </c>
      <c r="Q354" s="1">
        <f>Table1[[#This Row],[Revenue]]/Table1[[#This Row],[Rooms Booked]]</f>
        <v>14780</v>
      </c>
    </row>
    <row r="355" spans="1:17" x14ac:dyDescent="0.25">
      <c r="A355" s="1" t="s">
        <v>16</v>
      </c>
      <c r="B355" s="1" t="s">
        <v>23</v>
      </c>
      <c r="C355" s="1" t="s">
        <v>244</v>
      </c>
      <c r="D355" s="1">
        <v>28443</v>
      </c>
      <c r="E355" s="1" t="s">
        <v>292</v>
      </c>
      <c r="F355" s="1" t="s">
        <v>295</v>
      </c>
      <c r="G355" s="1">
        <v>50</v>
      </c>
      <c r="H355" s="1">
        <v>1</v>
      </c>
      <c r="I355" s="1" t="s">
        <v>298</v>
      </c>
      <c r="J355" s="1">
        <v>21</v>
      </c>
      <c r="K355" s="1" t="s">
        <v>301</v>
      </c>
      <c r="L355" s="1" t="s">
        <v>302</v>
      </c>
      <c r="M355" s="1">
        <v>1</v>
      </c>
      <c r="N355" s="1">
        <v>5</v>
      </c>
      <c r="O355" s="1">
        <v>27020.85</v>
      </c>
      <c r="P355" s="1">
        <f>Table1[[#This Row],[Rooms Booked]]/Table1[[#This Row],[Rooms Available]]*100</f>
        <v>2</v>
      </c>
      <c r="Q355" s="1">
        <f>Table1[[#This Row],[Revenue]]/Table1[[#This Row],[Rooms Booked]]</f>
        <v>28443</v>
      </c>
    </row>
    <row r="356" spans="1:17" x14ac:dyDescent="0.25">
      <c r="A356" s="1" t="s">
        <v>18</v>
      </c>
      <c r="B356" s="1" t="s">
        <v>23</v>
      </c>
      <c r="C356" s="1" t="s">
        <v>245</v>
      </c>
      <c r="D356" s="1">
        <v>22192</v>
      </c>
      <c r="E356" s="1" t="s">
        <v>292</v>
      </c>
      <c r="F356" s="1" t="s">
        <v>296</v>
      </c>
      <c r="G356" s="1">
        <v>50</v>
      </c>
      <c r="H356" s="1">
        <v>2</v>
      </c>
      <c r="I356" s="1" t="s">
        <v>298</v>
      </c>
      <c r="J356" s="1">
        <v>24</v>
      </c>
      <c r="K356" s="1" t="s">
        <v>300</v>
      </c>
      <c r="L356" s="1" t="s">
        <v>304</v>
      </c>
      <c r="M356" s="1">
        <v>3</v>
      </c>
      <c r="N356" s="1">
        <v>0</v>
      </c>
      <c r="O356" s="1">
        <v>22192</v>
      </c>
      <c r="P356" s="1">
        <f>Table1[[#This Row],[Rooms Booked]]/Table1[[#This Row],[Rooms Available]]*100</f>
        <v>4</v>
      </c>
      <c r="Q356" s="1">
        <f>Table1[[#This Row],[Revenue]]/Table1[[#This Row],[Rooms Booked]]</f>
        <v>11096</v>
      </c>
    </row>
    <row r="357" spans="1:17" x14ac:dyDescent="0.25">
      <c r="A357" s="1" t="s">
        <v>15</v>
      </c>
      <c r="B357" s="1" t="s">
        <v>22</v>
      </c>
      <c r="C357" s="1" t="s">
        <v>246</v>
      </c>
      <c r="D357" s="1">
        <v>152496</v>
      </c>
      <c r="E357" s="1" t="s">
        <v>294</v>
      </c>
      <c r="F357" s="1" t="s">
        <v>295</v>
      </c>
      <c r="G357" s="1">
        <v>50</v>
      </c>
      <c r="H357" s="1">
        <v>3</v>
      </c>
      <c r="I357" s="1" t="s">
        <v>298</v>
      </c>
      <c r="J357" s="1">
        <v>8</v>
      </c>
      <c r="K357" s="1" t="s">
        <v>300</v>
      </c>
      <c r="L357" s="1" t="s">
        <v>306</v>
      </c>
      <c r="M357" s="1">
        <v>1</v>
      </c>
      <c r="N357" s="1">
        <v>10</v>
      </c>
      <c r="O357" s="1">
        <v>137246.39999999999</v>
      </c>
      <c r="P357" s="1">
        <f>Table1[[#This Row],[Rooms Booked]]/Table1[[#This Row],[Rooms Available]]*100</f>
        <v>6</v>
      </c>
      <c r="Q357" s="1">
        <f>Table1[[#This Row],[Revenue]]/Table1[[#This Row],[Rooms Booked]]</f>
        <v>50832</v>
      </c>
    </row>
    <row r="358" spans="1:17" x14ac:dyDescent="0.25">
      <c r="A358" s="1" t="s">
        <v>19</v>
      </c>
      <c r="B358" s="1" t="s">
        <v>21</v>
      </c>
      <c r="C358" s="1" t="s">
        <v>38</v>
      </c>
      <c r="D358" s="1">
        <v>30030</v>
      </c>
      <c r="E358" s="1" t="s">
        <v>294</v>
      </c>
      <c r="F358" s="1" t="s">
        <v>296</v>
      </c>
      <c r="G358" s="1">
        <v>50</v>
      </c>
      <c r="H358" s="1">
        <v>3</v>
      </c>
      <c r="I358" s="1" t="s">
        <v>298</v>
      </c>
      <c r="J358" s="1">
        <v>27</v>
      </c>
      <c r="K358" s="1" t="s">
        <v>300</v>
      </c>
      <c r="L358" s="1" t="s">
        <v>303</v>
      </c>
      <c r="M358" s="1">
        <v>1</v>
      </c>
      <c r="N358" s="1">
        <v>15</v>
      </c>
      <c r="O358" s="1">
        <v>25525.5</v>
      </c>
      <c r="P358" s="1">
        <f>Table1[[#This Row],[Rooms Booked]]/Table1[[#This Row],[Rooms Available]]*100</f>
        <v>6</v>
      </c>
      <c r="Q358" s="1">
        <f>Table1[[#This Row],[Revenue]]/Table1[[#This Row],[Rooms Booked]]</f>
        <v>10010</v>
      </c>
    </row>
    <row r="359" spans="1:17" x14ac:dyDescent="0.25">
      <c r="A359" s="1" t="s">
        <v>17</v>
      </c>
      <c r="B359" s="1" t="s">
        <v>23</v>
      </c>
      <c r="C359" s="1" t="s">
        <v>247</v>
      </c>
      <c r="D359" s="1">
        <v>0</v>
      </c>
      <c r="E359" s="1" t="s">
        <v>294</v>
      </c>
      <c r="F359" s="1" t="s">
        <v>295</v>
      </c>
      <c r="G359" s="1">
        <v>50</v>
      </c>
      <c r="H359" s="1">
        <v>4</v>
      </c>
      <c r="I359" s="1" t="s">
        <v>299</v>
      </c>
      <c r="J359" s="1">
        <v>5</v>
      </c>
      <c r="K359" s="1" t="s">
        <v>300</v>
      </c>
      <c r="L359" s="1" t="s">
        <v>303</v>
      </c>
      <c r="M359" s="1">
        <v>5</v>
      </c>
      <c r="N359" s="1">
        <v>15</v>
      </c>
      <c r="O359" s="1">
        <v>0</v>
      </c>
      <c r="P359" s="1">
        <f>Table1[[#This Row],[Rooms Booked]]/Table1[[#This Row],[Rooms Available]]*100</f>
        <v>8</v>
      </c>
      <c r="Q359" s="1">
        <f>Table1[[#This Row],[Revenue]]/Table1[[#This Row],[Rooms Booked]]</f>
        <v>0</v>
      </c>
    </row>
    <row r="360" spans="1:17" x14ac:dyDescent="0.25">
      <c r="A360" s="1" t="s">
        <v>20</v>
      </c>
      <c r="B360" s="1" t="s">
        <v>23</v>
      </c>
      <c r="C360" s="1" t="s">
        <v>248</v>
      </c>
      <c r="D360" s="1">
        <v>17240</v>
      </c>
      <c r="E360" s="1" t="s">
        <v>291</v>
      </c>
      <c r="F360" s="1" t="s">
        <v>295</v>
      </c>
      <c r="G360" s="1">
        <v>50</v>
      </c>
      <c r="H360" s="1">
        <v>2</v>
      </c>
      <c r="I360" s="1" t="s">
        <v>298</v>
      </c>
      <c r="J360" s="1">
        <v>27</v>
      </c>
      <c r="K360" s="1" t="s">
        <v>301</v>
      </c>
      <c r="L360" s="1" t="s">
        <v>302</v>
      </c>
      <c r="M360" s="1">
        <v>4</v>
      </c>
      <c r="N360" s="1">
        <v>15</v>
      </c>
      <c r="O360" s="1">
        <v>14654</v>
      </c>
      <c r="P360" s="1">
        <f>Table1[[#This Row],[Rooms Booked]]/Table1[[#This Row],[Rooms Available]]*100</f>
        <v>4</v>
      </c>
      <c r="Q360" s="1">
        <f>Table1[[#This Row],[Revenue]]/Table1[[#This Row],[Rooms Booked]]</f>
        <v>8620</v>
      </c>
    </row>
    <row r="361" spans="1:17" x14ac:dyDescent="0.25">
      <c r="A361" s="1" t="s">
        <v>15</v>
      </c>
      <c r="B361" s="1" t="s">
        <v>21</v>
      </c>
      <c r="C361" s="1" t="s">
        <v>187</v>
      </c>
      <c r="D361" s="1">
        <v>24348</v>
      </c>
      <c r="E361" s="1" t="s">
        <v>291</v>
      </c>
      <c r="F361" s="1" t="s">
        <v>297</v>
      </c>
      <c r="G361" s="1">
        <v>50</v>
      </c>
      <c r="H361" s="1">
        <v>1</v>
      </c>
      <c r="I361" s="1" t="s">
        <v>298</v>
      </c>
      <c r="J361" s="1">
        <v>23</v>
      </c>
      <c r="K361" s="1" t="s">
        <v>300</v>
      </c>
      <c r="L361" s="1" t="s">
        <v>303</v>
      </c>
      <c r="M361" s="1">
        <v>5</v>
      </c>
      <c r="N361" s="1">
        <v>0</v>
      </c>
      <c r="O361" s="1">
        <v>24348</v>
      </c>
      <c r="P361" s="1">
        <f>Table1[[#This Row],[Rooms Booked]]/Table1[[#This Row],[Rooms Available]]*100</f>
        <v>2</v>
      </c>
      <c r="Q361" s="1">
        <f>Table1[[#This Row],[Revenue]]/Table1[[#This Row],[Rooms Booked]]</f>
        <v>24348</v>
      </c>
    </row>
    <row r="362" spans="1:17" x14ac:dyDescent="0.25">
      <c r="A362" s="1" t="s">
        <v>20</v>
      </c>
      <c r="B362" s="1" t="s">
        <v>21</v>
      </c>
      <c r="C362" s="1" t="s">
        <v>47</v>
      </c>
      <c r="D362" s="1">
        <v>14642</v>
      </c>
      <c r="E362" s="1" t="s">
        <v>293</v>
      </c>
      <c r="F362" s="1" t="s">
        <v>295</v>
      </c>
      <c r="G362" s="1">
        <v>50</v>
      </c>
      <c r="H362" s="1">
        <v>2</v>
      </c>
      <c r="I362" s="1" t="s">
        <v>298</v>
      </c>
      <c r="J362" s="1">
        <v>28</v>
      </c>
      <c r="K362" s="1" t="s">
        <v>300</v>
      </c>
      <c r="L362" s="1" t="s">
        <v>304</v>
      </c>
      <c r="M362" s="1">
        <v>4</v>
      </c>
      <c r="N362" s="1">
        <v>0</v>
      </c>
      <c r="O362" s="1">
        <v>14642</v>
      </c>
      <c r="P362" s="1">
        <f>Table1[[#This Row],[Rooms Booked]]/Table1[[#This Row],[Rooms Available]]*100</f>
        <v>4</v>
      </c>
      <c r="Q362" s="1">
        <f>Table1[[#This Row],[Revenue]]/Table1[[#This Row],[Rooms Booked]]</f>
        <v>7321</v>
      </c>
    </row>
    <row r="363" spans="1:17" x14ac:dyDescent="0.25">
      <c r="A363" s="1" t="s">
        <v>20</v>
      </c>
      <c r="B363" s="1" t="s">
        <v>21</v>
      </c>
      <c r="C363" s="1" t="s">
        <v>249</v>
      </c>
      <c r="D363" s="1">
        <v>34476</v>
      </c>
      <c r="E363" s="1" t="s">
        <v>293</v>
      </c>
      <c r="F363" s="1" t="s">
        <v>295</v>
      </c>
      <c r="G363" s="1">
        <v>50</v>
      </c>
      <c r="H363" s="1">
        <v>1</v>
      </c>
      <c r="I363" s="1" t="s">
        <v>298</v>
      </c>
      <c r="J363" s="1">
        <v>10</v>
      </c>
      <c r="K363" s="1" t="s">
        <v>300</v>
      </c>
      <c r="L363" s="1" t="s">
        <v>302</v>
      </c>
      <c r="M363" s="1">
        <v>5</v>
      </c>
      <c r="N363" s="1">
        <v>5</v>
      </c>
      <c r="O363" s="1">
        <v>32752.2</v>
      </c>
      <c r="P363" s="1">
        <f>Table1[[#This Row],[Rooms Booked]]/Table1[[#This Row],[Rooms Available]]*100</f>
        <v>2</v>
      </c>
      <c r="Q363" s="1">
        <f>Table1[[#This Row],[Revenue]]/Table1[[#This Row],[Rooms Booked]]</f>
        <v>34476</v>
      </c>
    </row>
    <row r="364" spans="1:17" x14ac:dyDescent="0.25">
      <c r="A364" s="1" t="s">
        <v>19</v>
      </c>
      <c r="B364" s="1" t="s">
        <v>22</v>
      </c>
      <c r="C364" s="1" t="s">
        <v>191</v>
      </c>
      <c r="D364" s="1">
        <v>61188</v>
      </c>
      <c r="E364" s="1" t="s">
        <v>292</v>
      </c>
      <c r="F364" s="1" t="s">
        <v>295</v>
      </c>
      <c r="G364" s="1">
        <v>50</v>
      </c>
      <c r="H364" s="1">
        <v>2</v>
      </c>
      <c r="I364" s="1" t="s">
        <v>298</v>
      </c>
      <c r="J364" s="1">
        <v>15</v>
      </c>
      <c r="K364" s="1" t="s">
        <v>301</v>
      </c>
      <c r="L364" s="1" t="s">
        <v>305</v>
      </c>
      <c r="M364" s="1">
        <v>5</v>
      </c>
      <c r="N364" s="1">
        <v>5</v>
      </c>
      <c r="O364" s="1">
        <v>58128.6</v>
      </c>
      <c r="P364" s="1">
        <f>Table1[[#This Row],[Rooms Booked]]/Table1[[#This Row],[Rooms Available]]*100</f>
        <v>4</v>
      </c>
      <c r="Q364" s="1">
        <f>Table1[[#This Row],[Revenue]]/Table1[[#This Row],[Rooms Booked]]</f>
        <v>30594</v>
      </c>
    </row>
    <row r="365" spans="1:17" x14ac:dyDescent="0.25">
      <c r="A365" s="1" t="s">
        <v>18</v>
      </c>
      <c r="B365" s="1" t="s">
        <v>22</v>
      </c>
      <c r="C365" s="1" t="s">
        <v>196</v>
      </c>
      <c r="D365" s="1">
        <v>12604</v>
      </c>
      <c r="E365" s="1" t="s">
        <v>291</v>
      </c>
      <c r="F365" s="1" t="s">
        <v>295</v>
      </c>
      <c r="G365" s="1">
        <v>50</v>
      </c>
      <c r="H365" s="1">
        <v>2</v>
      </c>
      <c r="I365" s="1" t="s">
        <v>298</v>
      </c>
      <c r="J365" s="1">
        <v>30</v>
      </c>
      <c r="K365" s="1" t="s">
        <v>301</v>
      </c>
      <c r="L365" s="1" t="s">
        <v>303</v>
      </c>
      <c r="M365" s="1">
        <v>5</v>
      </c>
      <c r="N365" s="1">
        <v>5</v>
      </c>
      <c r="O365" s="1">
        <v>11973.8</v>
      </c>
      <c r="P365" s="1">
        <f>Table1[[#This Row],[Rooms Booked]]/Table1[[#This Row],[Rooms Available]]*100</f>
        <v>4</v>
      </c>
      <c r="Q365" s="1">
        <f>Table1[[#This Row],[Revenue]]/Table1[[#This Row],[Rooms Booked]]</f>
        <v>6302</v>
      </c>
    </row>
    <row r="366" spans="1:17" x14ac:dyDescent="0.25">
      <c r="A366" s="1" t="s">
        <v>15</v>
      </c>
      <c r="B366" s="1" t="s">
        <v>23</v>
      </c>
      <c r="C366" s="1" t="s">
        <v>250</v>
      </c>
      <c r="D366" s="1">
        <v>0</v>
      </c>
      <c r="E366" s="1" t="s">
        <v>294</v>
      </c>
      <c r="F366" s="1" t="s">
        <v>295</v>
      </c>
      <c r="G366" s="1">
        <v>50</v>
      </c>
      <c r="H366" s="1">
        <v>1</v>
      </c>
      <c r="I366" s="1" t="s">
        <v>299</v>
      </c>
      <c r="J366" s="1">
        <v>12</v>
      </c>
      <c r="K366" s="1" t="s">
        <v>300</v>
      </c>
      <c r="L366" s="1" t="s">
        <v>306</v>
      </c>
      <c r="M366" s="1">
        <v>2</v>
      </c>
      <c r="N366" s="1">
        <v>10</v>
      </c>
      <c r="O366" s="1">
        <v>0</v>
      </c>
      <c r="P366" s="1">
        <f>Table1[[#This Row],[Rooms Booked]]/Table1[[#This Row],[Rooms Available]]*100</f>
        <v>2</v>
      </c>
      <c r="Q366" s="1">
        <f>Table1[[#This Row],[Revenue]]/Table1[[#This Row],[Rooms Booked]]</f>
        <v>0</v>
      </c>
    </row>
    <row r="367" spans="1:17" x14ac:dyDescent="0.25">
      <c r="A367" s="1" t="s">
        <v>17</v>
      </c>
      <c r="B367" s="1" t="s">
        <v>22</v>
      </c>
      <c r="C367" s="1" t="s">
        <v>251</v>
      </c>
      <c r="D367" s="1">
        <v>20568</v>
      </c>
      <c r="E367" s="1" t="s">
        <v>293</v>
      </c>
      <c r="F367" s="1" t="s">
        <v>295</v>
      </c>
      <c r="G367" s="1">
        <v>50</v>
      </c>
      <c r="H367" s="1">
        <v>2</v>
      </c>
      <c r="I367" s="1" t="s">
        <v>298</v>
      </c>
      <c r="J367" s="1">
        <v>1</v>
      </c>
      <c r="K367" s="1" t="s">
        <v>300</v>
      </c>
      <c r="L367" s="1" t="s">
        <v>302</v>
      </c>
      <c r="M367" s="1">
        <v>3</v>
      </c>
      <c r="N367" s="1">
        <v>5</v>
      </c>
      <c r="O367" s="1">
        <v>19539.599999999999</v>
      </c>
      <c r="P367" s="1">
        <f>Table1[[#This Row],[Rooms Booked]]/Table1[[#This Row],[Rooms Available]]*100</f>
        <v>4</v>
      </c>
      <c r="Q367" s="1">
        <f>Table1[[#This Row],[Revenue]]/Table1[[#This Row],[Rooms Booked]]</f>
        <v>10284</v>
      </c>
    </row>
    <row r="368" spans="1:17" x14ac:dyDescent="0.25">
      <c r="A368" s="1" t="s">
        <v>20</v>
      </c>
      <c r="B368" s="1" t="s">
        <v>22</v>
      </c>
      <c r="C368" s="1" t="s">
        <v>49</v>
      </c>
      <c r="D368" s="1">
        <v>0</v>
      </c>
      <c r="E368" s="1" t="s">
        <v>294</v>
      </c>
      <c r="F368" s="1" t="s">
        <v>297</v>
      </c>
      <c r="G368" s="1">
        <v>50</v>
      </c>
      <c r="H368" s="1">
        <v>3</v>
      </c>
      <c r="I368" s="1" t="s">
        <v>299</v>
      </c>
      <c r="J368" s="1">
        <v>15</v>
      </c>
      <c r="K368" s="1" t="s">
        <v>300</v>
      </c>
      <c r="L368" s="1" t="s">
        <v>304</v>
      </c>
      <c r="M368" s="1">
        <v>1</v>
      </c>
      <c r="N368" s="1">
        <v>0</v>
      </c>
      <c r="O368" s="1">
        <v>0</v>
      </c>
      <c r="P368" s="1">
        <f>Table1[[#This Row],[Rooms Booked]]/Table1[[#This Row],[Rooms Available]]*100</f>
        <v>6</v>
      </c>
      <c r="Q368" s="1">
        <f>Table1[[#This Row],[Revenue]]/Table1[[#This Row],[Rooms Booked]]</f>
        <v>0</v>
      </c>
    </row>
    <row r="369" spans="1:17" x14ac:dyDescent="0.25">
      <c r="A369" s="1" t="s">
        <v>16</v>
      </c>
      <c r="B369" s="1" t="s">
        <v>23</v>
      </c>
      <c r="C369" s="1" t="s">
        <v>248</v>
      </c>
      <c r="D369" s="1">
        <v>74048</v>
      </c>
      <c r="E369" s="1" t="s">
        <v>293</v>
      </c>
      <c r="F369" s="1" t="s">
        <v>295</v>
      </c>
      <c r="G369" s="1">
        <v>50</v>
      </c>
      <c r="H369" s="1">
        <v>4</v>
      </c>
      <c r="I369" s="1" t="s">
        <v>298</v>
      </c>
      <c r="J369" s="1">
        <v>2</v>
      </c>
      <c r="K369" s="1" t="s">
        <v>301</v>
      </c>
      <c r="L369" s="1" t="s">
        <v>303</v>
      </c>
      <c r="M369" s="1">
        <v>3</v>
      </c>
      <c r="N369" s="1">
        <v>15</v>
      </c>
      <c r="O369" s="1">
        <v>62940.800000000003</v>
      </c>
      <c r="P369" s="1">
        <f>Table1[[#This Row],[Rooms Booked]]/Table1[[#This Row],[Rooms Available]]*100</f>
        <v>8</v>
      </c>
      <c r="Q369" s="1">
        <f>Table1[[#This Row],[Revenue]]/Table1[[#This Row],[Rooms Booked]]</f>
        <v>18512</v>
      </c>
    </row>
    <row r="370" spans="1:17" x14ac:dyDescent="0.25">
      <c r="A370" s="1" t="s">
        <v>17</v>
      </c>
      <c r="B370" s="1" t="s">
        <v>22</v>
      </c>
      <c r="C370" s="1" t="s">
        <v>87</v>
      </c>
      <c r="D370" s="1">
        <v>59280</v>
      </c>
      <c r="E370" s="1" t="s">
        <v>291</v>
      </c>
      <c r="F370" s="1" t="s">
        <v>296</v>
      </c>
      <c r="G370" s="1">
        <v>50</v>
      </c>
      <c r="H370" s="1">
        <v>2</v>
      </c>
      <c r="I370" s="1" t="s">
        <v>298</v>
      </c>
      <c r="J370" s="1">
        <v>18</v>
      </c>
      <c r="K370" s="1" t="s">
        <v>301</v>
      </c>
      <c r="L370" s="1" t="s">
        <v>305</v>
      </c>
      <c r="M370" s="1">
        <v>1</v>
      </c>
      <c r="N370" s="1">
        <v>5</v>
      </c>
      <c r="O370" s="1">
        <v>56316</v>
      </c>
      <c r="P370" s="1">
        <f>Table1[[#This Row],[Rooms Booked]]/Table1[[#This Row],[Rooms Available]]*100</f>
        <v>4</v>
      </c>
      <c r="Q370" s="1">
        <f>Table1[[#This Row],[Revenue]]/Table1[[#This Row],[Rooms Booked]]</f>
        <v>29640</v>
      </c>
    </row>
    <row r="371" spans="1:17" x14ac:dyDescent="0.25">
      <c r="A371" s="1" t="s">
        <v>16</v>
      </c>
      <c r="B371" s="1" t="s">
        <v>23</v>
      </c>
      <c r="C371" s="1" t="s">
        <v>123</v>
      </c>
      <c r="D371" s="1">
        <v>0</v>
      </c>
      <c r="E371" s="1" t="s">
        <v>294</v>
      </c>
      <c r="F371" s="1" t="s">
        <v>295</v>
      </c>
      <c r="G371" s="1">
        <v>50</v>
      </c>
      <c r="H371" s="1">
        <v>2</v>
      </c>
      <c r="I371" s="1" t="s">
        <v>299</v>
      </c>
      <c r="J371" s="1">
        <v>21</v>
      </c>
      <c r="K371" s="1" t="s">
        <v>301</v>
      </c>
      <c r="L371" s="1" t="s">
        <v>305</v>
      </c>
      <c r="M371" s="1">
        <v>2</v>
      </c>
      <c r="N371" s="1">
        <v>5</v>
      </c>
      <c r="O371" s="1">
        <v>0</v>
      </c>
      <c r="P371" s="1">
        <f>Table1[[#This Row],[Rooms Booked]]/Table1[[#This Row],[Rooms Available]]*100</f>
        <v>4</v>
      </c>
      <c r="Q371" s="1">
        <f>Table1[[#This Row],[Revenue]]/Table1[[#This Row],[Rooms Booked]]</f>
        <v>0</v>
      </c>
    </row>
    <row r="372" spans="1:17" x14ac:dyDescent="0.25">
      <c r="A372" s="1" t="s">
        <v>18</v>
      </c>
      <c r="B372" s="1" t="s">
        <v>22</v>
      </c>
      <c r="C372" s="1" t="s">
        <v>252</v>
      </c>
      <c r="D372" s="1">
        <v>0</v>
      </c>
      <c r="E372" s="1" t="s">
        <v>293</v>
      </c>
      <c r="F372" s="1" t="s">
        <v>295</v>
      </c>
      <c r="G372" s="1">
        <v>50</v>
      </c>
      <c r="H372" s="1">
        <v>5</v>
      </c>
      <c r="I372" s="1" t="s">
        <v>299</v>
      </c>
      <c r="J372" s="1">
        <v>1</v>
      </c>
      <c r="K372" s="1" t="s">
        <v>300</v>
      </c>
      <c r="L372" s="1" t="s">
        <v>304</v>
      </c>
      <c r="M372" s="1">
        <v>4</v>
      </c>
      <c r="N372" s="1">
        <v>5</v>
      </c>
      <c r="O372" s="1">
        <v>0</v>
      </c>
      <c r="P372" s="1">
        <f>Table1[[#This Row],[Rooms Booked]]/Table1[[#This Row],[Rooms Available]]*100</f>
        <v>10</v>
      </c>
      <c r="Q372" s="1">
        <f>Table1[[#This Row],[Revenue]]/Table1[[#This Row],[Rooms Booked]]</f>
        <v>0</v>
      </c>
    </row>
    <row r="373" spans="1:17" x14ac:dyDescent="0.25">
      <c r="A373" s="1" t="s">
        <v>18</v>
      </c>
      <c r="B373" s="1" t="s">
        <v>23</v>
      </c>
      <c r="C373" s="1" t="s">
        <v>36</v>
      </c>
      <c r="D373" s="1">
        <v>145240</v>
      </c>
      <c r="E373" s="1" t="s">
        <v>292</v>
      </c>
      <c r="F373" s="1" t="s">
        <v>295</v>
      </c>
      <c r="G373" s="1">
        <v>50</v>
      </c>
      <c r="H373" s="1">
        <v>5</v>
      </c>
      <c r="I373" s="1" t="s">
        <v>298</v>
      </c>
      <c r="J373" s="1">
        <v>9</v>
      </c>
      <c r="K373" s="1" t="s">
        <v>300</v>
      </c>
      <c r="L373" s="1" t="s">
        <v>303</v>
      </c>
      <c r="M373" s="1">
        <v>4</v>
      </c>
      <c r="N373" s="1">
        <v>10</v>
      </c>
      <c r="O373" s="1">
        <v>130716</v>
      </c>
      <c r="P373" s="1">
        <f>Table1[[#This Row],[Rooms Booked]]/Table1[[#This Row],[Rooms Available]]*100</f>
        <v>10</v>
      </c>
      <c r="Q373" s="1">
        <f>Table1[[#This Row],[Revenue]]/Table1[[#This Row],[Rooms Booked]]</f>
        <v>29048</v>
      </c>
    </row>
    <row r="374" spans="1:17" x14ac:dyDescent="0.25">
      <c r="A374" s="1" t="s">
        <v>16</v>
      </c>
      <c r="B374" s="1" t="s">
        <v>23</v>
      </c>
      <c r="C374" s="1" t="s">
        <v>253</v>
      </c>
      <c r="D374" s="1">
        <v>37445</v>
      </c>
      <c r="E374" s="1" t="s">
        <v>293</v>
      </c>
      <c r="F374" s="1" t="s">
        <v>297</v>
      </c>
      <c r="G374" s="1">
        <v>50</v>
      </c>
      <c r="H374" s="1">
        <v>5</v>
      </c>
      <c r="I374" s="1" t="s">
        <v>298</v>
      </c>
      <c r="J374" s="1">
        <v>30</v>
      </c>
      <c r="K374" s="1" t="s">
        <v>300</v>
      </c>
      <c r="L374" s="1" t="s">
        <v>303</v>
      </c>
      <c r="M374" s="1">
        <v>2</v>
      </c>
      <c r="N374" s="1">
        <v>0</v>
      </c>
      <c r="O374" s="1">
        <v>37445</v>
      </c>
      <c r="P374" s="1">
        <f>Table1[[#This Row],[Rooms Booked]]/Table1[[#This Row],[Rooms Available]]*100</f>
        <v>10</v>
      </c>
      <c r="Q374" s="1">
        <f>Table1[[#This Row],[Revenue]]/Table1[[#This Row],[Rooms Booked]]</f>
        <v>7489</v>
      </c>
    </row>
    <row r="375" spans="1:17" x14ac:dyDescent="0.25">
      <c r="A375" s="1" t="s">
        <v>16</v>
      </c>
      <c r="B375" s="1" t="s">
        <v>22</v>
      </c>
      <c r="C375" s="1" t="s">
        <v>57</v>
      </c>
      <c r="D375" s="1">
        <v>118232</v>
      </c>
      <c r="E375" s="1" t="s">
        <v>291</v>
      </c>
      <c r="F375" s="1" t="s">
        <v>295</v>
      </c>
      <c r="G375" s="1">
        <v>50</v>
      </c>
      <c r="H375" s="1">
        <v>4</v>
      </c>
      <c r="I375" s="1" t="s">
        <v>298</v>
      </c>
      <c r="J375" s="1">
        <v>2</v>
      </c>
      <c r="K375" s="1" t="s">
        <v>301</v>
      </c>
      <c r="L375" s="1" t="s">
        <v>306</v>
      </c>
      <c r="M375" s="1">
        <v>4</v>
      </c>
      <c r="N375" s="1">
        <v>15</v>
      </c>
      <c r="O375" s="1">
        <v>100497.2</v>
      </c>
      <c r="P375" s="1">
        <f>Table1[[#This Row],[Rooms Booked]]/Table1[[#This Row],[Rooms Available]]*100</f>
        <v>8</v>
      </c>
      <c r="Q375" s="1">
        <f>Table1[[#This Row],[Revenue]]/Table1[[#This Row],[Rooms Booked]]</f>
        <v>29558</v>
      </c>
    </row>
    <row r="376" spans="1:17" x14ac:dyDescent="0.25">
      <c r="A376" s="1" t="s">
        <v>20</v>
      </c>
      <c r="B376" s="1" t="s">
        <v>22</v>
      </c>
      <c r="C376" s="1" t="s">
        <v>167</v>
      </c>
      <c r="D376" s="1">
        <v>50440</v>
      </c>
      <c r="E376" s="1" t="s">
        <v>293</v>
      </c>
      <c r="F376" s="1" t="s">
        <v>295</v>
      </c>
      <c r="G376" s="1">
        <v>50</v>
      </c>
      <c r="H376" s="1">
        <v>2</v>
      </c>
      <c r="I376" s="1" t="s">
        <v>298</v>
      </c>
      <c r="J376" s="1">
        <v>6</v>
      </c>
      <c r="K376" s="1" t="s">
        <v>301</v>
      </c>
      <c r="L376" s="1" t="s">
        <v>305</v>
      </c>
      <c r="M376" s="1">
        <v>3</v>
      </c>
      <c r="N376" s="1">
        <v>10</v>
      </c>
      <c r="O376" s="1">
        <v>45396</v>
      </c>
      <c r="P376" s="1">
        <f>Table1[[#This Row],[Rooms Booked]]/Table1[[#This Row],[Rooms Available]]*100</f>
        <v>4</v>
      </c>
      <c r="Q376" s="1">
        <f>Table1[[#This Row],[Revenue]]/Table1[[#This Row],[Rooms Booked]]</f>
        <v>25220</v>
      </c>
    </row>
    <row r="377" spans="1:17" x14ac:dyDescent="0.25">
      <c r="A377" s="1" t="s">
        <v>20</v>
      </c>
      <c r="B377" s="1" t="s">
        <v>23</v>
      </c>
      <c r="C377" s="1" t="s">
        <v>152</v>
      </c>
      <c r="D377" s="1">
        <v>5678</v>
      </c>
      <c r="E377" s="1" t="s">
        <v>292</v>
      </c>
      <c r="F377" s="1" t="s">
        <v>296</v>
      </c>
      <c r="G377" s="1">
        <v>50</v>
      </c>
      <c r="H377" s="1">
        <v>1</v>
      </c>
      <c r="I377" s="1" t="s">
        <v>298</v>
      </c>
      <c r="J377" s="1">
        <v>8</v>
      </c>
      <c r="K377" s="1" t="s">
        <v>300</v>
      </c>
      <c r="L377" s="1" t="s">
        <v>303</v>
      </c>
      <c r="M377" s="1">
        <v>5</v>
      </c>
      <c r="N377" s="1">
        <v>15</v>
      </c>
      <c r="O377" s="1">
        <v>4826.3</v>
      </c>
      <c r="P377" s="1">
        <f>Table1[[#This Row],[Rooms Booked]]/Table1[[#This Row],[Rooms Available]]*100</f>
        <v>2</v>
      </c>
      <c r="Q377" s="1">
        <f>Table1[[#This Row],[Revenue]]/Table1[[#This Row],[Rooms Booked]]</f>
        <v>5678</v>
      </c>
    </row>
    <row r="378" spans="1:17" x14ac:dyDescent="0.25">
      <c r="A378" s="1" t="s">
        <v>17</v>
      </c>
      <c r="B378" s="1" t="s">
        <v>23</v>
      </c>
      <c r="C378" s="1" t="s">
        <v>254</v>
      </c>
      <c r="D378" s="1">
        <v>80562</v>
      </c>
      <c r="E378" s="1" t="s">
        <v>292</v>
      </c>
      <c r="F378" s="1" t="s">
        <v>296</v>
      </c>
      <c r="G378" s="1">
        <v>50</v>
      </c>
      <c r="H378" s="1">
        <v>3</v>
      </c>
      <c r="I378" s="1" t="s">
        <v>298</v>
      </c>
      <c r="J378" s="1">
        <v>14</v>
      </c>
      <c r="K378" s="1" t="s">
        <v>301</v>
      </c>
      <c r="L378" s="1" t="s">
        <v>303</v>
      </c>
      <c r="M378" s="1">
        <v>5</v>
      </c>
      <c r="N378" s="1">
        <v>15</v>
      </c>
      <c r="O378" s="1">
        <v>68477.7</v>
      </c>
      <c r="P378" s="1">
        <f>Table1[[#This Row],[Rooms Booked]]/Table1[[#This Row],[Rooms Available]]*100</f>
        <v>6</v>
      </c>
      <c r="Q378" s="1">
        <f>Table1[[#This Row],[Revenue]]/Table1[[#This Row],[Rooms Booked]]</f>
        <v>26854</v>
      </c>
    </row>
    <row r="379" spans="1:17" x14ac:dyDescent="0.25">
      <c r="A379" s="1" t="s">
        <v>17</v>
      </c>
      <c r="B379" s="1" t="s">
        <v>23</v>
      </c>
      <c r="C379" s="1" t="s">
        <v>187</v>
      </c>
      <c r="D379" s="1">
        <v>79168</v>
      </c>
      <c r="E379" s="1" t="s">
        <v>291</v>
      </c>
      <c r="F379" s="1" t="s">
        <v>297</v>
      </c>
      <c r="G379" s="1">
        <v>50</v>
      </c>
      <c r="H379" s="1">
        <v>4</v>
      </c>
      <c r="I379" s="1" t="s">
        <v>298</v>
      </c>
      <c r="J379" s="1">
        <v>1</v>
      </c>
      <c r="K379" s="1" t="s">
        <v>301</v>
      </c>
      <c r="L379" s="1" t="s">
        <v>303</v>
      </c>
      <c r="M379" s="1">
        <v>3</v>
      </c>
      <c r="N379" s="1">
        <v>15</v>
      </c>
      <c r="O379" s="1">
        <v>67292.800000000003</v>
      </c>
      <c r="P379" s="1">
        <f>Table1[[#This Row],[Rooms Booked]]/Table1[[#This Row],[Rooms Available]]*100</f>
        <v>8</v>
      </c>
      <c r="Q379" s="1">
        <f>Table1[[#This Row],[Revenue]]/Table1[[#This Row],[Rooms Booked]]</f>
        <v>19792</v>
      </c>
    </row>
    <row r="380" spans="1:17" x14ac:dyDescent="0.25">
      <c r="A380" s="1" t="s">
        <v>17</v>
      </c>
      <c r="B380" s="1" t="s">
        <v>22</v>
      </c>
      <c r="C380" s="1" t="s">
        <v>255</v>
      </c>
      <c r="D380" s="1">
        <v>286160</v>
      </c>
      <c r="E380" s="1" t="s">
        <v>293</v>
      </c>
      <c r="F380" s="1" t="s">
        <v>295</v>
      </c>
      <c r="G380" s="1">
        <v>50</v>
      </c>
      <c r="H380" s="1">
        <v>5</v>
      </c>
      <c r="I380" s="1" t="s">
        <v>298</v>
      </c>
      <c r="J380" s="1">
        <v>28</v>
      </c>
      <c r="K380" s="1" t="s">
        <v>300</v>
      </c>
      <c r="L380" s="1" t="s">
        <v>304</v>
      </c>
      <c r="M380" s="1">
        <v>5</v>
      </c>
      <c r="N380" s="1">
        <v>10</v>
      </c>
      <c r="O380" s="1">
        <v>257544</v>
      </c>
      <c r="P380" s="1">
        <f>Table1[[#This Row],[Rooms Booked]]/Table1[[#This Row],[Rooms Available]]*100</f>
        <v>10</v>
      </c>
      <c r="Q380" s="1">
        <f>Table1[[#This Row],[Revenue]]/Table1[[#This Row],[Rooms Booked]]</f>
        <v>57232</v>
      </c>
    </row>
    <row r="381" spans="1:17" x14ac:dyDescent="0.25">
      <c r="A381" s="1" t="s">
        <v>18</v>
      </c>
      <c r="B381" s="1" t="s">
        <v>22</v>
      </c>
      <c r="C381" s="1" t="s">
        <v>256</v>
      </c>
      <c r="D381" s="1">
        <v>132016</v>
      </c>
      <c r="E381" s="1" t="s">
        <v>294</v>
      </c>
      <c r="F381" s="1" t="s">
        <v>295</v>
      </c>
      <c r="G381" s="1">
        <v>50</v>
      </c>
      <c r="H381" s="1">
        <v>4</v>
      </c>
      <c r="I381" s="1" t="s">
        <v>298</v>
      </c>
      <c r="J381" s="1">
        <v>3</v>
      </c>
      <c r="K381" s="1" t="s">
        <v>300</v>
      </c>
      <c r="L381" s="1" t="s">
        <v>306</v>
      </c>
      <c r="M381" s="1">
        <v>2</v>
      </c>
      <c r="N381" s="1">
        <v>15</v>
      </c>
      <c r="O381" s="1">
        <v>112213.6</v>
      </c>
      <c r="P381" s="1">
        <f>Table1[[#This Row],[Rooms Booked]]/Table1[[#This Row],[Rooms Available]]*100</f>
        <v>8</v>
      </c>
      <c r="Q381" s="1">
        <f>Table1[[#This Row],[Revenue]]/Table1[[#This Row],[Rooms Booked]]</f>
        <v>33004</v>
      </c>
    </row>
    <row r="382" spans="1:17" x14ac:dyDescent="0.25">
      <c r="A382" s="1" t="s">
        <v>20</v>
      </c>
      <c r="B382" s="1" t="s">
        <v>23</v>
      </c>
      <c r="C382" s="1" t="s">
        <v>257</v>
      </c>
      <c r="D382" s="1">
        <v>79158</v>
      </c>
      <c r="E382" s="1" t="s">
        <v>293</v>
      </c>
      <c r="F382" s="1" t="s">
        <v>295</v>
      </c>
      <c r="G382" s="1">
        <v>50</v>
      </c>
      <c r="H382" s="1">
        <v>3</v>
      </c>
      <c r="I382" s="1" t="s">
        <v>298</v>
      </c>
      <c r="J382" s="1">
        <v>20</v>
      </c>
      <c r="K382" s="1" t="s">
        <v>300</v>
      </c>
      <c r="L382" s="1" t="s">
        <v>306</v>
      </c>
      <c r="M382" s="1">
        <v>1</v>
      </c>
      <c r="N382" s="1">
        <v>5</v>
      </c>
      <c r="O382" s="1">
        <v>75200.100000000006</v>
      </c>
      <c r="P382" s="1">
        <f>Table1[[#This Row],[Rooms Booked]]/Table1[[#This Row],[Rooms Available]]*100</f>
        <v>6</v>
      </c>
      <c r="Q382" s="1">
        <f>Table1[[#This Row],[Revenue]]/Table1[[#This Row],[Rooms Booked]]</f>
        <v>26386</v>
      </c>
    </row>
    <row r="383" spans="1:17" x14ac:dyDescent="0.25">
      <c r="A383" s="1" t="s">
        <v>16</v>
      </c>
      <c r="B383" s="1" t="s">
        <v>23</v>
      </c>
      <c r="C383" s="1" t="s">
        <v>246</v>
      </c>
      <c r="D383" s="1">
        <v>93420</v>
      </c>
      <c r="E383" s="1" t="s">
        <v>291</v>
      </c>
      <c r="F383" s="1" t="s">
        <v>295</v>
      </c>
      <c r="G383" s="1">
        <v>50</v>
      </c>
      <c r="H383" s="1">
        <v>3</v>
      </c>
      <c r="I383" s="1" t="s">
        <v>298</v>
      </c>
      <c r="J383" s="1">
        <v>4</v>
      </c>
      <c r="K383" s="1" t="s">
        <v>300</v>
      </c>
      <c r="L383" s="1" t="s">
        <v>303</v>
      </c>
      <c r="M383" s="1">
        <v>5</v>
      </c>
      <c r="N383" s="1">
        <v>15</v>
      </c>
      <c r="O383" s="1">
        <v>79407</v>
      </c>
      <c r="P383" s="1">
        <f>Table1[[#This Row],[Rooms Booked]]/Table1[[#This Row],[Rooms Available]]*100</f>
        <v>6</v>
      </c>
      <c r="Q383" s="1">
        <f>Table1[[#This Row],[Revenue]]/Table1[[#This Row],[Rooms Booked]]</f>
        <v>31140</v>
      </c>
    </row>
    <row r="384" spans="1:17" x14ac:dyDescent="0.25">
      <c r="A384" s="1" t="s">
        <v>18</v>
      </c>
      <c r="B384" s="1" t="s">
        <v>21</v>
      </c>
      <c r="C384" s="1" t="s">
        <v>119</v>
      </c>
      <c r="D384" s="1">
        <v>49200</v>
      </c>
      <c r="E384" s="1" t="s">
        <v>294</v>
      </c>
      <c r="F384" s="1" t="s">
        <v>295</v>
      </c>
      <c r="G384" s="1">
        <v>50</v>
      </c>
      <c r="H384" s="1">
        <v>5</v>
      </c>
      <c r="I384" s="1" t="s">
        <v>298</v>
      </c>
      <c r="J384" s="1">
        <v>10</v>
      </c>
      <c r="K384" s="1" t="s">
        <v>301</v>
      </c>
      <c r="L384" s="1" t="s">
        <v>305</v>
      </c>
      <c r="M384" s="1">
        <v>2</v>
      </c>
      <c r="N384" s="1">
        <v>15</v>
      </c>
      <c r="O384" s="1">
        <v>41820</v>
      </c>
      <c r="P384" s="1">
        <f>Table1[[#This Row],[Rooms Booked]]/Table1[[#This Row],[Rooms Available]]*100</f>
        <v>10</v>
      </c>
      <c r="Q384" s="1">
        <f>Table1[[#This Row],[Revenue]]/Table1[[#This Row],[Rooms Booked]]</f>
        <v>9840</v>
      </c>
    </row>
    <row r="385" spans="1:17" x14ac:dyDescent="0.25">
      <c r="A385" s="1" t="s">
        <v>16</v>
      </c>
      <c r="B385" s="1" t="s">
        <v>22</v>
      </c>
      <c r="C385" s="1" t="s">
        <v>258</v>
      </c>
      <c r="D385" s="1">
        <v>58044</v>
      </c>
      <c r="E385" s="1" t="s">
        <v>292</v>
      </c>
      <c r="F385" s="1" t="s">
        <v>295</v>
      </c>
      <c r="G385" s="1">
        <v>50</v>
      </c>
      <c r="H385" s="1">
        <v>2</v>
      </c>
      <c r="I385" s="1" t="s">
        <v>298</v>
      </c>
      <c r="J385" s="1">
        <v>20</v>
      </c>
      <c r="K385" s="1" t="s">
        <v>300</v>
      </c>
      <c r="L385" s="1" t="s">
        <v>302</v>
      </c>
      <c r="M385" s="1">
        <v>4</v>
      </c>
      <c r="N385" s="1">
        <v>10</v>
      </c>
      <c r="O385" s="1">
        <v>52239.6</v>
      </c>
      <c r="P385" s="1">
        <f>Table1[[#This Row],[Rooms Booked]]/Table1[[#This Row],[Rooms Available]]*100</f>
        <v>4</v>
      </c>
      <c r="Q385" s="1">
        <f>Table1[[#This Row],[Revenue]]/Table1[[#This Row],[Rooms Booked]]</f>
        <v>29022</v>
      </c>
    </row>
    <row r="386" spans="1:17" x14ac:dyDescent="0.25">
      <c r="A386" s="1" t="s">
        <v>17</v>
      </c>
      <c r="B386" s="1" t="s">
        <v>22</v>
      </c>
      <c r="C386" s="1" t="s">
        <v>259</v>
      </c>
      <c r="D386" s="1">
        <v>44900</v>
      </c>
      <c r="E386" s="1" t="s">
        <v>293</v>
      </c>
      <c r="F386" s="1" t="s">
        <v>297</v>
      </c>
      <c r="G386" s="1">
        <v>50</v>
      </c>
      <c r="H386" s="1">
        <v>1</v>
      </c>
      <c r="I386" s="1" t="s">
        <v>298</v>
      </c>
      <c r="J386" s="1">
        <v>11</v>
      </c>
      <c r="K386" s="1" t="s">
        <v>300</v>
      </c>
      <c r="L386" s="1" t="s">
        <v>302</v>
      </c>
      <c r="M386" s="1">
        <v>2</v>
      </c>
      <c r="N386" s="1">
        <v>5</v>
      </c>
      <c r="O386" s="1">
        <v>42655</v>
      </c>
      <c r="P386" s="1">
        <f>Table1[[#This Row],[Rooms Booked]]/Table1[[#This Row],[Rooms Available]]*100</f>
        <v>2</v>
      </c>
      <c r="Q386" s="1">
        <f>Table1[[#This Row],[Revenue]]/Table1[[#This Row],[Rooms Booked]]</f>
        <v>44900</v>
      </c>
    </row>
    <row r="387" spans="1:17" x14ac:dyDescent="0.25">
      <c r="A387" s="1" t="s">
        <v>18</v>
      </c>
      <c r="B387" s="1" t="s">
        <v>23</v>
      </c>
      <c r="C387" s="1" t="s">
        <v>64</v>
      </c>
      <c r="D387" s="1">
        <v>31386</v>
      </c>
      <c r="E387" s="1" t="s">
        <v>293</v>
      </c>
      <c r="F387" s="1" t="s">
        <v>295</v>
      </c>
      <c r="G387" s="1">
        <v>50</v>
      </c>
      <c r="H387" s="1">
        <v>3</v>
      </c>
      <c r="I387" s="1" t="s">
        <v>298</v>
      </c>
      <c r="J387" s="1">
        <v>15</v>
      </c>
      <c r="K387" s="1" t="s">
        <v>301</v>
      </c>
      <c r="L387" s="1" t="s">
        <v>304</v>
      </c>
      <c r="M387" s="1">
        <v>2</v>
      </c>
      <c r="N387" s="1">
        <v>10</v>
      </c>
      <c r="O387" s="1">
        <v>28247.4</v>
      </c>
      <c r="P387" s="1">
        <f>Table1[[#This Row],[Rooms Booked]]/Table1[[#This Row],[Rooms Available]]*100</f>
        <v>6</v>
      </c>
      <c r="Q387" s="1">
        <f>Table1[[#This Row],[Revenue]]/Table1[[#This Row],[Rooms Booked]]</f>
        <v>10462</v>
      </c>
    </row>
    <row r="388" spans="1:17" x14ac:dyDescent="0.25">
      <c r="A388" s="1" t="s">
        <v>18</v>
      </c>
      <c r="B388" s="1" t="s">
        <v>22</v>
      </c>
      <c r="C388" s="1" t="s">
        <v>159</v>
      </c>
      <c r="D388" s="1">
        <v>73704</v>
      </c>
      <c r="E388" s="1" t="s">
        <v>293</v>
      </c>
      <c r="F388" s="1" t="s">
        <v>295</v>
      </c>
      <c r="G388" s="1">
        <v>50</v>
      </c>
      <c r="H388" s="1">
        <v>2</v>
      </c>
      <c r="I388" s="1" t="s">
        <v>298</v>
      </c>
      <c r="J388" s="1">
        <v>23</v>
      </c>
      <c r="K388" s="1" t="s">
        <v>300</v>
      </c>
      <c r="L388" s="1" t="s">
        <v>306</v>
      </c>
      <c r="M388" s="1">
        <v>5</v>
      </c>
      <c r="N388" s="1">
        <v>5</v>
      </c>
      <c r="O388" s="1">
        <v>70018.8</v>
      </c>
      <c r="P388" s="1">
        <f>Table1[[#This Row],[Rooms Booked]]/Table1[[#This Row],[Rooms Available]]*100</f>
        <v>4</v>
      </c>
      <c r="Q388" s="1">
        <f>Table1[[#This Row],[Revenue]]/Table1[[#This Row],[Rooms Booked]]</f>
        <v>36852</v>
      </c>
    </row>
    <row r="389" spans="1:17" x14ac:dyDescent="0.25">
      <c r="A389" s="1" t="s">
        <v>15</v>
      </c>
      <c r="B389" s="1" t="s">
        <v>23</v>
      </c>
      <c r="C389" s="1" t="s">
        <v>48</v>
      </c>
      <c r="D389" s="1">
        <v>0</v>
      </c>
      <c r="E389" s="1" t="s">
        <v>293</v>
      </c>
      <c r="F389" s="1" t="s">
        <v>295</v>
      </c>
      <c r="G389" s="1">
        <v>50</v>
      </c>
      <c r="H389" s="1">
        <v>5</v>
      </c>
      <c r="I389" s="1" t="s">
        <v>299</v>
      </c>
      <c r="J389" s="1">
        <v>3</v>
      </c>
      <c r="K389" s="1" t="s">
        <v>301</v>
      </c>
      <c r="L389" s="1" t="s">
        <v>306</v>
      </c>
      <c r="M389" s="1">
        <v>5</v>
      </c>
      <c r="N389" s="1">
        <v>15</v>
      </c>
      <c r="O389" s="1">
        <v>0</v>
      </c>
      <c r="P389" s="1">
        <f>Table1[[#This Row],[Rooms Booked]]/Table1[[#This Row],[Rooms Available]]*100</f>
        <v>10</v>
      </c>
      <c r="Q389" s="1">
        <f>Table1[[#This Row],[Revenue]]/Table1[[#This Row],[Rooms Booked]]</f>
        <v>0</v>
      </c>
    </row>
    <row r="390" spans="1:17" x14ac:dyDescent="0.25">
      <c r="A390" s="1" t="s">
        <v>17</v>
      </c>
      <c r="B390" s="1" t="s">
        <v>21</v>
      </c>
      <c r="C390" s="1" t="s">
        <v>66</v>
      </c>
      <c r="D390" s="1">
        <v>0</v>
      </c>
      <c r="E390" s="1" t="s">
        <v>292</v>
      </c>
      <c r="F390" s="1" t="s">
        <v>295</v>
      </c>
      <c r="G390" s="1">
        <v>50</v>
      </c>
      <c r="H390" s="1">
        <v>1</v>
      </c>
      <c r="I390" s="1" t="s">
        <v>299</v>
      </c>
      <c r="J390" s="1">
        <v>23</v>
      </c>
      <c r="K390" s="1" t="s">
        <v>300</v>
      </c>
      <c r="L390" s="1" t="s">
        <v>304</v>
      </c>
      <c r="M390" s="1">
        <v>2</v>
      </c>
      <c r="N390" s="1">
        <v>15</v>
      </c>
      <c r="O390" s="1">
        <v>0</v>
      </c>
      <c r="P390" s="1">
        <f>Table1[[#This Row],[Rooms Booked]]/Table1[[#This Row],[Rooms Available]]*100</f>
        <v>2</v>
      </c>
      <c r="Q390" s="1">
        <f>Table1[[#This Row],[Revenue]]/Table1[[#This Row],[Rooms Booked]]</f>
        <v>0</v>
      </c>
    </row>
    <row r="391" spans="1:17" x14ac:dyDescent="0.25">
      <c r="A391" s="1" t="s">
        <v>19</v>
      </c>
      <c r="B391" s="1" t="s">
        <v>22</v>
      </c>
      <c r="C391" s="1" t="s">
        <v>260</v>
      </c>
      <c r="D391" s="1">
        <v>35613</v>
      </c>
      <c r="E391" s="1" t="s">
        <v>292</v>
      </c>
      <c r="F391" s="1" t="s">
        <v>295</v>
      </c>
      <c r="G391" s="1">
        <v>50</v>
      </c>
      <c r="H391" s="1">
        <v>3</v>
      </c>
      <c r="I391" s="1" t="s">
        <v>298</v>
      </c>
      <c r="J391" s="1">
        <v>11</v>
      </c>
      <c r="K391" s="1" t="s">
        <v>301</v>
      </c>
      <c r="L391" s="1" t="s">
        <v>303</v>
      </c>
      <c r="M391" s="1">
        <v>5</v>
      </c>
      <c r="N391" s="1">
        <v>15</v>
      </c>
      <c r="O391" s="1">
        <v>30271.05</v>
      </c>
      <c r="P391" s="1">
        <f>Table1[[#This Row],[Rooms Booked]]/Table1[[#This Row],[Rooms Available]]*100</f>
        <v>6</v>
      </c>
      <c r="Q391" s="1">
        <f>Table1[[#This Row],[Revenue]]/Table1[[#This Row],[Rooms Booked]]</f>
        <v>11871</v>
      </c>
    </row>
    <row r="392" spans="1:17" x14ac:dyDescent="0.25">
      <c r="A392" s="1" t="s">
        <v>15</v>
      </c>
      <c r="B392" s="1" t="s">
        <v>23</v>
      </c>
      <c r="C392" s="1" t="s">
        <v>261</v>
      </c>
      <c r="D392" s="1">
        <v>88302</v>
      </c>
      <c r="E392" s="1" t="s">
        <v>291</v>
      </c>
      <c r="F392" s="1" t="s">
        <v>295</v>
      </c>
      <c r="G392" s="1">
        <v>50</v>
      </c>
      <c r="H392" s="1">
        <v>2</v>
      </c>
      <c r="I392" s="1" t="s">
        <v>298</v>
      </c>
      <c r="J392" s="1">
        <v>8</v>
      </c>
      <c r="K392" s="1" t="s">
        <v>300</v>
      </c>
      <c r="L392" s="1" t="s">
        <v>302</v>
      </c>
      <c r="M392" s="1">
        <v>3</v>
      </c>
      <c r="N392" s="1">
        <v>10</v>
      </c>
      <c r="O392" s="1">
        <v>79471.8</v>
      </c>
      <c r="P392" s="1">
        <f>Table1[[#This Row],[Rooms Booked]]/Table1[[#This Row],[Rooms Available]]*100</f>
        <v>4</v>
      </c>
      <c r="Q392" s="1">
        <f>Table1[[#This Row],[Revenue]]/Table1[[#This Row],[Rooms Booked]]</f>
        <v>44151</v>
      </c>
    </row>
    <row r="393" spans="1:17" x14ac:dyDescent="0.25">
      <c r="A393" s="1" t="s">
        <v>15</v>
      </c>
      <c r="B393" s="1" t="s">
        <v>22</v>
      </c>
      <c r="C393" s="1" t="s">
        <v>190</v>
      </c>
      <c r="D393" s="1">
        <v>49200</v>
      </c>
      <c r="E393" s="1" t="s">
        <v>293</v>
      </c>
      <c r="F393" s="1" t="s">
        <v>295</v>
      </c>
      <c r="G393" s="1">
        <v>50</v>
      </c>
      <c r="H393" s="1">
        <v>2</v>
      </c>
      <c r="I393" s="1" t="s">
        <v>298</v>
      </c>
      <c r="J393" s="1">
        <v>23</v>
      </c>
      <c r="K393" s="1" t="s">
        <v>301</v>
      </c>
      <c r="L393" s="1" t="s">
        <v>303</v>
      </c>
      <c r="M393" s="1">
        <v>2</v>
      </c>
      <c r="N393" s="1">
        <v>5</v>
      </c>
      <c r="O393" s="1">
        <v>46740</v>
      </c>
      <c r="P393" s="1">
        <f>Table1[[#This Row],[Rooms Booked]]/Table1[[#This Row],[Rooms Available]]*100</f>
        <v>4</v>
      </c>
      <c r="Q393" s="1">
        <f>Table1[[#This Row],[Revenue]]/Table1[[#This Row],[Rooms Booked]]</f>
        <v>24600</v>
      </c>
    </row>
    <row r="394" spans="1:17" x14ac:dyDescent="0.25">
      <c r="A394" s="1" t="s">
        <v>15</v>
      </c>
      <c r="B394" s="1" t="s">
        <v>22</v>
      </c>
      <c r="C394" s="1" t="s">
        <v>110</v>
      </c>
      <c r="D394" s="1">
        <v>210015</v>
      </c>
      <c r="E394" s="1" t="s">
        <v>291</v>
      </c>
      <c r="F394" s="1" t="s">
        <v>297</v>
      </c>
      <c r="G394" s="1">
        <v>50</v>
      </c>
      <c r="H394" s="1">
        <v>5</v>
      </c>
      <c r="I394" s="1" t="s">
        <v>298</v>
      </c>
      <c r="J394" s="1">
        <v>26</v>
      </c>
      <c r="K394" s="1" t="s">
        <v>301</v>
      </c>
      <c r="L394" s="1" t="s">
        <v>304</v>
      </c>
      <c r="M394" s="1">
        <v>4</v>
      </c>
      <c r="N394" s="1">
        <v>0</v>
      </c>
      <c r="O394" s="1">
        <v>210015</v>
      </c>
      <c r="P394" s="1">
        <f>Table1[[#This Row],[Rooms Booked]]/Table1[[#This Row],[Rooms Available]]*100</f>
        <v>10</v>
      </c>
      <c r="Q394" s="1">
        <f>Table1[[#This Row],[Revenue]]/Table1[[#This Row],[Rooms Booked]]</f>
        <v>42003</v>
      </c>
    </row>
    <row r="395" spans="1:17" x14ac:dyDescent="0.25">
      <c r="A395" s="1" t="s">
        <v>19</v>
      </c>
      <c r="B395" s="1" t="s">
        <v>22</v>
      </c>
      <c r="C395" s="1" t="s">
        <v>24</v>
      </c>
      <c r="D395" s="1">
        <v>0</v>
      </c>
      <c r="E395" s="1" t="s">
        <v>294</v>
      </c>
      <c r="F395" s="1" t="s">
        <v>295</v>
      </c>
      <c r="G395" s="1">
        <v>50</v>
      </c>
      <c r="H395" s="1">
        <v>5</v>
      </c>
      <c r="I395" s="1" t="s">
        <v>299</v>
      </c>
      <c r="J395" s="1">
        <v>18</v>
      </c>
      <c r="K395" s="1" t="s">
        <v>301</v>
      </c>
      <c r="L395" s="1" t="s">
        <v>306</v>
      </c>
      <c r="M395" s="1">
        <v>2</v>
      </c>
      <c r="N395" s="1">
        <v>10</v>
      </c>
      <c r="O395" s="1">
        <v>0</v>
      </c>
      <c r="P395" s="1">
        <f>Table1[[#This Row],[Rooms Booked]]/Table1[[#This Row],[Rooms Available]]*100</f>
        <v>10</v>
      </c>
      <c r="Q395" s="1">
        <f>Table1[[#This Row],[Revenue]]/Table1[[#This Row],[Rooms Booked]]</f>
        <v>0</v>
      </c>
    </row>
    <row r="396" spans="1:17" x14ac:dyDescent="0.25">
      <c r="A396" s="1" t="s">
        <v>15</v>
      </c>
      <c r="B396" s="1" t="s">
        <v>21</v>
      </c>
      <c r="C396" s="1" t="s">
        <v>90</v>
      </c>
      <c r="D396" s="1">
        <v>24222</v>
      </c>
      <c r="E396" s="1" t="s">
        <v>294</v>
      </c>
      <c r="F396" s="1" t="s">
        <v>296</v>
      </c>
      <c r="G396" s="1">
        <v>50</v>
      </c>
      <c r="H396" s="1">
        <v>2</v>
      </c>
      <c r="I396" s="1" t="s">
        <v>298</v>
      </c>
      <c r="J396" s="1">
        <v>13</v>
      </c>
      <c r="K396" s="1" t="s">
        <v>301</v>
      </c>
      <c r="L396" s="1" t="s">
        <v>305</v>
      </c>
      <c r="M396" s="1">
        <v>1</v>
      </c>
      <c r="N396" s="1">
        <v>15</v>
      </c>
      <c r="O396" s="1">
        <v>20588.7</v>
      </c>
      <c r="P396" s="1">
        <f>Table1[[#This Row],[Rooms Booked]]/Table1[[#This Row],[Rooms Available]]*100</f>
        <v>4</v>
      </c>
      <c r="Q396" s="1">
        <f>Table1[[#This Row],[Revenue]]/Table1[[#This Row],[Rooms Booked]]</f>
        <v>12111</v>
      </c>
    </row>
    <row r="397" spans="1:17" x14ac:dyDescent="0.25">
      <c r="A397" s="1" t="s">
        <v>16</v>
      </c>
      <c r="B397" s="1" t="s">
        <v>21</v>
      </c>
      <c r="C397" s="1" t="s">
        <v>246</v>
      </c>
      <c r="D397" s="1">
        <v>243660</v>
      </c>
      <c r="E397" s="1" t="s">
        <v>294</v>
      </c>
      <c r="F397" s="1" t="s">
        <v>295</v>
      </c>
      <c r="G397" s="1">
        <v>50</v>
      </c>
      <c r="H397" s="1">
        <v>5</v>
      </c>
      <c r="I397" s="1" t="s">
        <v>298</v>
      </c>
      <c r="J397" s="1">
        <v>23</v>
      </c>
      <c r="K397" s="1" t="s">
        <v>300</v>
      </c>
      <c r="L397" s="1" t="s">
        <v>303</v>
      </c>
      <c r="M397" s="1">
        <v>4</v>
      </c>
      <c r="N397" s="1">
        <v>10</v>
      </c>
      <c r="O397" s="1">
        <v>219294</v>
      </c>
      <c r="P397" s="1">
        <f>Table1[[#This Row],[Rooms Booked]]/Table1[[#This Row],[Rooms Available]]*100</f>
        <v>10</v>
      </c>
      <c r="Q397" s="1">
        <f>Table1[[#This Row],[Revenue]]/Table1[[#This Row],[Rooms Booked]]</f>
        <v>48732</v>
      </c>
    </row>
    <row r="398" spans="1:17" x14ac:dyDescent="0.25">
      <c r="A398" s="1" t="s">
        <v>18</v>
      </c>
      <c r="B398" s="1" t="s">
        <v>23</v>
      </c>
      <c r="C398" s="1" t="s">
        <v>262</v>
      </c>
      <c r="D398" s="1">
        <v>38832</v>
      </c>
      <c r="E398" s="1" t="s">
        <v>292</v>
      </c>
      <c r="F398" s="1" t="s">
        <v>296</v>
      </c>
      <c r="G398" s="1">
        <v>50</v>
      </c>
      <c r="H398" s="1">
        <v>2</v>
      </c>
      <c r="I398" s="1" t="s">
        <v>298</v>
      </c>
      <c r="J398" s="1">
        <v>30</v>
      </c>
      <c r="K398" s="1" t="s">
        <v>300</v>
      </c>
      <c r="L398" s="1" t="s">
        <v>302</v>
      </c>
      <c r="M398" s="1">
        <v>4</v>
      </c>
      <c r="N398" s="1">
        <v>10</v>
      </c>
      <c r="O398" s="1">
        <v>34948.800000000003</v>
      </c>
      <c r="P398" s="1">
        <f>Table1[[#This Row],[Rooms Booked]]/Table1[[#This Row],[Rooms Available]]*100</f>
        <v>4</v>
      </c>
      <c r="Q398" s="1">
        <f>Table1[[#This Row],[Revenue]]/Table1[[#This Row],[Rooms Booked]]</f>
        <v>19416</v>
      </c>
    </row>
    <row r="399" spans="1:17" x14ac:dyDescent="0.25">
      <c r="A399" s="1" t="s">
        <v>19</v>
      </c>
      <c r="B399" s="1" t="s">
        <v>22</v>
      </c>
      <c r="C399" s="1" t="s">
        <v>173</v>
      </c>
      <c r="D399" s="1">
        <v>22690</v>
      </c>
      <c r="E399" s="1" t="s">
        <v>294</v>
      </c>
      <c r="F399" s="1" t="s">
        <v>295</v>
      </c>
      <c r="G399" s="1">
        <v>50</v>
      </c>
      <c r="H399" s="1">
        <v>5</v>
      </c>
      <c r="I399" s="1" t="s">
        <v>298</v>
      </c>
      <c r="J399" s="1">
        <v>2</v>
      </c>
      <c r="K399" s="1" t="s">
        <v>300</v>
      </c>
      <c r="L399" s="1" t="s">
        <v>306</v>
      </c>
      <c r="M399" s="1">
        <v>5</v>
      </c>
      <c r="N399" s="1">
        <v>5</v>
      </c>
      <c r="O399" s="1">
        <v>21555.5</v>
      </c>
      <c r="P399" s="1">
        <f>Table1[[#This Row],[Rooms Booked]]/Table1[[#This Row],[Rooms Available]]*100</f>
        <v>10</v>
      </c>
      <c r="Q399" s="1">
        <f>Table1[[#This Row],[Revenue]]/Table1[[#This Row],[Rooms Booked]]</f>
        <v>4538</v>
      </c>
    </row>
    <row r="400" spans="1:17" x14ac:dyDescent="0.25">
      <c r="A400" s="1" t="s">
        <v>18</v>
      </c>
      <c r="B400" s="1" t="s">
        <v>23</v>
      </c>
      <c r="C400" s="1" t="s">
        <v>263</v>
      </c>
      <c r="D400" s="1">
        <v>231860</v>
      </c>
      <c r="E400" s="1" t="s">
        <v>293</v>
      </c>
      <c r="F400" s="1" t="s">
        <v>297</v>
      </c>
      <c r="G400" s="1">
        <v>50</v>
      </c>
      <c r="H400" s="1">
        <v>5</v>
      </c>
      <c r="I400" s="1" t="s">
        <v>298</v>
      </c>
      <c r="J400" s="1">
        <v>18</v>
      </c>
      <c r="K400" s="1" t="s">
        <v>301</v>
      </c>
      <c r="L400" s="1" t="s">
        <v>304</v>
      </c>
      <c r="M400" s="1">
        <v>5</v>
      </c>
      <c r="N400" s="1">
        <v>15</v>
      </c>
      <c r="O400" s="1">
        <v>197081</v>
      </c>
      <c r="P400" s="1">
        <f>Table1[[#This Row],[Rooms Booked]]/Table1[[#This Row],[Rooms Available]]*100</f>
        <v>10</v>
      </c>
      <c r="Q400" s="1">
        <f>Table1[[#This Row],[Revenue]]/Table1[[#This Row],[Rooms Booked]]</f>
        <v>46372</v>
      </c>
    </row>
    <row r="401" spans="1:17" x14ac:dyDescent="0.25">
      <c r="A401" s="1" t="s">
        <v>19</v>
      </c>
      <c r="B401" s="1" t="s">
        <v>21</v>
      </c>
      <c r="C401" s="1" t="s">
        <v>222</v>
      </c>
      <c r="D401" s="1">
        <v>71250</v>
      </c>
      <c r="E401" s="1" t="s">
        <v>294</v>
      </c>
      <c r="F401" s="1" t="s">
        <v>295</v>
      </c>
      <c r="G401" s="1">
        <v>50</v>
      </c>
      <c r="H401" s="1">
        <v>2</v>
      </c>
      <c r="I401" s="1" t="s">
        <v>298</v>
      </c>
      <c r="J401" s="1">
        <v>16</v>
      </c>
      <c r="K401" s="1" t="s">
        <v>301</v>
      </c>
      <c r="L401" s="1" t="s">
        <v>304</v>
      </c>
      <c r="M401" s="1">
        <v>4</v>
      </c>
      <c r="N401" s="1">
        <v>15</v>
      </c>
      <c r="O401" s="1">
        <v>60562.5</v>
      </c>
      <c r="P401" s="1">
        <f>Table1[[#This Row],[Rooms Booked]]/Table1[[#This Row],[Rooms Available]]*100</f>
        <v>4</v>
      </c>
      <c r="Q401" s="1">
        <f>Table1[[#This Row],[Revenue]]/Table1[[#This Row],[Rooms Booked]]</f>
        <v>35625</v>
      </c>
    </row>
    <row r="402" spans="1:17" x14ac:dyDescent="0.25">
      <c r="A402" s="1" t="s">
        <v>16</v>
      </c>
      <c r="B402" s="1" t="s">
        <v>23</v>
      </c>
      <c r="C402" s="1" t="s">
        <v>264</v>
      </c>
      <c r="D402" s="1">
        <v>12914</v>
      </c>
      <c r="E402" s="1" t="s">
        <v>293</v>
      </c>
      <c r="F402" s="1" t="s">
        <v>295</v>
      </c>
      <c r="G402" s="1">
        <v>50</v>
      </c>
      <c r="H402" s="1">
        <v>2</v>
      </c>
      <c r="I402" s="1" t="s">
        <v>298</v>
      </c>
      <c r="J402" s="1">
        <v>20</v>
      </c>
      <c r="K402" s="1" t="s">
        <v>300</v>
      </c>
      <c r="L402" s="1" t="s">
        <v>306</v>
      </c>
      <c r="M402" s="1">
        <v>3</v>
      </c>
      <c r="N402" s="1">
        <v>15</v>
      </c>
      <c r="O402" s="1">
        <v>10976.9</v>
      </c>
      <c r="P402" s="1">
        <f>Table1[[#This Row],[Rooms Booked]]/Table1[[#This Row],[Rooms Available]]*100</f>
        <v>4</v>
      </c>
      <c r="Q402" s="1">
        <f>Table1[[#This Row],[Revenue]]/Table1[[#This Row],[Rooms Booked]]</f>
        <v>6457</v>
      </c>
    </row>
    <row r="403" spans="1:17" x14ac:dyDescent="0.25">
      <c r="A403" s="1" t="s">
        <v>16</v>
      </c>
      <c r="B403" s="1" t="s">
        <v>23</v>
      </c>
      <c r="C403" s="1" t="s">
        <v>80</v>
      </c>
      <c r="D403" s="1">
        <v>0</v>
      </c>
      <c r="E403" s="1" t="s">
        <v>292</v>
      </c>
      <c r="F403" s="1" t="s">
        <v>297</v>
      </c>
      <c r="G403" s="1">
        <v>50</v>
      </c>
      <c r="H403" s="1">
        <v>5</v>
      </c>
      <c r="I403" s="1" t="s">
        <v>299</v>
      </c>
      <c r="J403" s="1">
        <v>12</v>
      </c>
      <c r="K403" s="1" t="s">
        <v>300</v>
      </c>
      <c r="L403" s="1" t="s">
        <v>303</v>
      </c>
      <c r="M403" s="1">
        <v>5</v>
      </c>
      <c r="N403" s="1">
        <v>0</v>
      </c>
      <c r="O403" s="1">
        <v>0</v>
      </c>
      <c r="P403" s="1">
        <f>Table1[[#This Row],[Rooms Booked]]/Table1[[#This Row],[Rooms Available]]*100</f>
        <v>10</v>
      </c>
      <c r="Q403" s="1">
        <f>Table1[[#This Row],[Revenue]]/Table1[[#This Row],[Rooms Booked]]</f>
        <v>0</v>
      </c>
    </row>
    <row r="404" spans="1:17" x14ac:dyDescent="0.25">
      <c r="A404" s="1" t="s">
        <v>17</v>
      </c>
      <c r="B404" s="1" t="s">
        <v>22</v>
      </c>
      <c r="C404" s="1" t="s">
        <v>98</v>
      </c>
      <c r="D404" s="1">
        <v>61190</v>
      </c>
      <c r="E404" s="1" t="s">
        <v>294</v>
      </c>
      <c r="F404" s="1" t="s">
        <v>295</v>
      </c>
      <c r="G404" s="1">
        <v>50</v>
      </c>
      <c r="H404" s="1">
        <v>5</v>
      </c>
      <c r="I404" s="1" t="s">
        <v>298</v>
      </c>
      <c r="J404" s="1">
        <v>6</v>
      </c>
      <c r="K404" s="1" t="s">
        <v>300</v>
      </c>
      <c r="L404" s="1" t="s">
        <v>306</v>
      </c>
      <c r="M404" s="1">
        <v>2</v>
      </c>
      <c r="N404" s="1">
        <v>0</v>
      </c>
      <c r="O404" s="1">
        <v>61190</v>
      </c>
      <c r="P404" s="1">
        <f>Table1[[#This Row],[Rooms Booked]]/Table1[[#This Row],[Rooms Available]]*100</f>
        <v>10</v>
      </c>
      <c r="Q404" s="1">
        <f>Table1[[#This Row],[Revenue]]/Table1[[#This Row],[Rooms Booked]]</f>
        <v>12238</v>
      </c>
    </row>
    <row r="405" spans="1:17" x14ac:dyDescent="0.25">
      <c r="A405" s="1" t="s">
        <v>16</v>
      </c>
      <c r="B405" s="1" t="s">
        <v>23</v>
      </c>
      <c r="C405" s="1" t="s">
        <v>235</v>
      </c>
      <c r="D405" s="1">
        <v>29816</v>
      </c>
      <c r="E405" s="1" t="s">
        <v>294</v>
      </c>
      <c r="F405" s="1" t="s">
        <v>297</v>
      </c>
      <c r="G405" s="1">
        <v>50</v>
      </c>
      <c r="H405" s="1">
        <v>2</v>
      </c>
      <c r="I405" s="1" t="s">
        <v>298</v>
      </c>
      <c r="J405" s="1">
        <v>24</v>
      </c>
      <c r="K405" s="1" t="s">
        <v>300</v>
      </c>
      <c r="L405" s="1" t="s">
        <v>303</v>
      </c>
      <c r="M405" s="1">
        <v>4</v>
      </c>
      <c r="N405" s="1">
        <v>10</v>
      </c>
      <c r="O405" s="1">
        <v>26834.400000000001</v>
      </c>
      <c r="P405" s="1">
        <f>Table1[[#This Row],[Rooms Booked]]/Table1[[#This Row],[Rooms Available]]*100</f>
        <v>4</v>
      </c>
      <c r="Q405" s="1">
        <f>Table1[[#This Row],[Revenue]]/Table1[[#This Row],[Rooms Booked]]</f>
        <v>14908</v>
      </c>
    </row>
    <row r="406" spans="1:17" x14ac:dyDescent="0.25">
      <c r="A406" s="1" t="s">
        <v>18</v>
      </c>
      <c r="B406" s="1" t="s">
        <v>21</v>
      </c>
      <c r="C406" s="1" t="s">
        <v>173</v>
      </c>
      <c r="D406" s="1">
        <v>8937</v>
      </c>
      <c r="E406" s="1" t="s">
        <v>292</v>
      </c>
      <c r="F406" s="1" t="s">
        <v>295</v>
      </c>
      <c r="G406" s="1">
        <v>50</v>
      </c>
      <c r="H406" s="1">
        <v>1</v>
      </c>
      <c r="I406" s="1" t="s">
        <v>298</v>
      </c>
      <c r="J406" s="1">
        <v>29</v>
      </c>
      <c r="K406" s="1" t="s">
        <v>300</v>
      </c>
      <c r="L406" s="1" t="s">
        <v>302</v>
      </c>
      <c r="M406" s="1">
        <v>3</v>
      </c>
      <c r="N406" s="1">
        <v>0</v>
      </c>
      <c r="O406" s="1">
        <v>8937</v>
      </c>
      <c r="P406" s="1">
        <f>Table1[[#This Row],[Rooms Booked]]/Table1[[#This Row],[Rooms Available]]*100</f>
        <v>2</v>
      </c>
      <c r="Q406" s="1">
        <f>Table1[[#This Row],[Revenue]]/Table1[[#This Row],[Rooms Booked]]</f>
        <v>8937</v>
      </c>
    </row>
    <row r="407" spans="1:17" x14ac:dyDescent="0.25">
      <c r="A407" s="1" t="s">
        <v>18</v>
      </c>
      <c r="B407" s="1" t="s">
        <v>22</v>
      </c>
      <c r="C407" s="1" t="s">
        <v>184</v>
      </c>
      <c r="D407" s="1">
        <v>0</v>
      </c>
      <c r="E407" s="1" t="s">
        <v>294</v>
      </c>
      <c r="F407" s="1" t="s">
        <v>296</v>
      </c>
      <c r="G407" s="1">
        <v>50</v>
      </c>
      <c r="H407" s="1">
        <v>5</v>
      </c>
      <c r="I407" s="1" t="s">
        <v>299</v>
      </c>
      <c r="J407" s="1">
        <v>14</v>
      </c>
      <c r="K407" s="1" t="s">
        <v>301</v>
      </c>
      <c r="L407" s="1" t="s">
        <v>306</v>
      </c>
      <c r="M407" s="1">
        <v>2</v>
      </c>
      <c r="N407" s="1">
        <v>10</v>
      </c>
      <c r="O407" s="1">
        <v>0</v>
      </c>
      <c r="P407" s="1">
        <f>Table1[[#This Row],[Rooms Booked]]/Table1[[#This Row],[Rooms Available]]*100</f>
        <v>10</v>
      </c>
      <c r="Q407" s="1">
        <f>Table1[[#This Row],[Revenue]]/Table1[[#This Row],[Rooms Booked]]</f>
        <v>0</v>
      </c>
    </row>
    <row r="408" spans="1:17" x14ac:dyDescent="0.25">
      <c r="A408" s="1" t="s">
        <v>19</v>
      </c>
      <c r="B408" s="1" t="s">
        <v>22</v>
      </c>
      <c r="C408" s="1" t="s">
        <v>112</v>
      </c>
      <c r="D408" s="1">
        <v>63066</v>
      </c>
      <c r="E408" s="1" t="s">
        <v>291</v>
      </c>
      <c r="F408" s="1" t="s">
        <v>295</v>
      </c>
      <c r="G408" s="1">
        <v>50</v>
      </c>
      <c r="H408" s="1">
        <v>2</v>
      </c>
      <c r="I408" s="1" t="s">
        <v>298</v>
      </c>
      <c r="J408" s="1">
        <v>8</v>
      </c>
      <c r="K408" s="1" t="s">
        <v>301</v>
      </c>
      <c r="L408" s="1" t="s">
        <v>304</v>
      </c>
      <c r="M408" s="1">
        <v>3</v>
      </c>
      <c r="N408" s="1">
        <v>5</v>
      </c>
      <c r="O408" s="1">
        <v>59912.7</v>
      </c>
      <c r="P408" s="1">
        <f>Table1[[#This Row],[Rooms Booked]]/Table1[[#This Row],[Rooms Available]]*100</f>
        <v>4</v>
      </c>
      <c r="Q408" s="1">
        <f>Table1[[#This Row],[Revenue]]/Table1[[#This Row],[Rooms Booked]]</f>
        <v>31533</v>
      </c>
    </row>
    <row r="409" spans="1:17" x14ac:dyDescent="0.25">
      <c r="A409" s="1" t="s">
        <v>16</v>
      </c>
      <c r="B409" s="1" t="s">
        <v>23</v>
      </c>
      <c r="C409" s="1" t="s">
        <v>265</v>
      </c>
      <c r="D409" s="1">
        <v>16062</v>
      </c>
      <c r="E409" s="1" t="s">
        <v>292</v>
      </c>
      <c r="F409" s="1" t="s">
        <v>295</v>
      </c>
      <c r="G409" s="1">
        <v>50</v>
      </c>
      <c r="H409" s="1">
        <v>3</v>
      </c>
      <c r="I409" s="1" t="s">
        <v>298</v>
      </c>
      <c r="J409" s="1">
        <v>1</v>
      </c>
      <c r="K409" s="1" t="s">
        <v>300</v>
      </c>
      <c r="L409" s="1" t="s">
        <v>306</v>
      </c>
      <c r="M409" s="1">
        <v>4</v>
      </c>
      <c r="N409" s="1">
        <v>0</v>
      </c>
      <c r="O409" s="1">
        <v>16062</v>
      </c>
      <c r="P409" s="1">
        <f>Table1[[#This Row],[Rooms Booked]]/Table1[[#This Row],[Rooms Available]]*100</f>
        <v>6</v>
      </c>
      <c r="Q409" s="1">
        <f>Table1[[#This Row],[Revenue]]/Table1[[#This Row],[Rooms Booked]]</f>
        <v>5354</v>
      </c>
    </row>
    <row r="410" spans="1:17" x14ac:dyDescent="0.25">
      <c r="A410" s="1" t="s">
        <v>20</v>
      </c>
      <c r="B410" s="1" t="s">
        <v>23</v>
      </c>
      <c r="C410" s="1" t="s">
        <v>98</v>
      </c>
      <c r="D410" s="1">
        <v>0</v>
      </c>
      <c r="E410" s="1" t="s">
        <v>291</v>
      </c>
      <c r="F410" s="1" t="s">
        <v>295</v>
      </c>
      <c r="G410" s="1">
        <v>50</v>
      </c>
      <c r="H410" s="1">
        <v>4</v>
      </c>
      <c r="I410" s="1" t="s">
        <v>299</v>
      </c>
      <c r="J410" s="1">
        <v>5</v>
      </c>
      <c r="K410" s="1" t="s">
        <v>301</v>
      </c>
      <c r="L410" s="1" t="s">
        <v>305</v>
      </c>
      <c r="M410" s="1">
        <v>3</v>
      </c>
      <c r="N410" s="1">
        <v>10</v>
      </c>
      <c r="O410" s="1">
        <v>0</v>
      </c>
      <c r="P410" s="1">
        <f>Table1[[#This Row],[Rooms Booked]]/Table1[[#This Row],[Rooms Available]]*100</f>
        <v>8</v>
      </c>
      <c r="Q410" s="1">
        <f>Table1[[#This Row],[Revenue]]/Table1[[#This Row],[Rooms Booked]]</f>
        <v>0</v>
      </c>
    </row>
    <row r="411" spans="1:17" x14ac:dyDescent="0.25">
      <c r="A411" s="1" t="s">
        <v>18</v>
      </c>
      <c r="B411" s="1" t="s">
        <v>21</v>
      </c>
      <c r="C411" s="1" t="s">
        <v>266</v>
      </c>
      <c r="D411" s="1">
        <v>0</v>
      </c>
      <c r="E411" s="1" t="s">
        <v>291</v>
      </c>
      <c r="F411" s="1" t="s">
        <v>295</v>
      </c>
      <c r="G411" s="1">
        <v>50</v>
      </c>
      <c r="H411" s="1">
        <v>5</v>
      </c>
      <c r="I411" s="1" t="s">
        <v>299</v>
      </c>
      <c r="J411" s="1">
        <v>27</v>
      </c>
      <c r="K411" s="1" t="s">
        <v>301</v>
      </c>
      <c r="L411" s="1" t="s">
        <v>303</v>
      </c>
      <c r="M411" s="1">
        <v>5</v>
      </c>
      <c r="N411" s="1">
        <v>15</v>
      </c>
      <c r="O411" s="1">
        <v>0</v>
      </c>
      <c r="P411" s="1">
        <f>Table1[[#This Row],[Rooms Booked]]/Table1[[#This Row],[Rooms Available]]*100</f>
        <v>10</v>
      </c>
      <c r="Q411" s="1">
        <f>Table1[[#This Row],[Revenue]]/Table1[[#This Row],[Rooms Booked]]</f>
        <v>0</v>
      </c>
    </row>
    <row r="412" spans="1:17" x14ac:dyDescent="0.25">
      <c r="A412" s="1" t="s">
        <v>19</v>
      </c>
      <c r="B412" s="1" t="s">
        <v>23</v>
      </c>
      <c r="C412" s="1" t="s">
        <v>199</v>
      </c>
      <c r="D412" s="1">
        <v>146208</v>
      </c>
      <c r="E412" s="1" t="s">
        <v>293</v>
      </c>
      <c r="F412" s="1" t="s">
        <v>295</v>
      </c>
      <c r="G412" s="1">
        <v>50</v>
      </c>
      <c r="H412" s="1">
        <v>4</v>
      </c>
      <c r="I412" s="1" t="s">
        <v>298</v>
      </c>
      <c r="J412" s="1">
        <v>23</v>
      </c>
      <c r="K412" s="1" t="s">
        <v>301</v>
      </c>
      <c r="L412" s="1" t="s">
        <v>305</v>
      </c>
      <c r="M412" s="1">
        <v>5</v>
      </c>
      <c r="N412" s="1">
        <v>10</v>
      </c>
      <c r="O412" s="1">
        <v>131587.20000000001</v>
      </c>
      <c r="P412" s="1">
        <f>Table1[[#This Row],[Rooms Booked]]/Table1[[#This Row],[Rooms Available]]*100</f>
        <v>8</v>
      </c>
      <c r="Q412" s="1">
        <f>Table1[[#This Row],[Revenue]]/Table1[[#This Row],[Rooms Booked]]</f>
        <v>36552</v>
      </c>
    </row>
    <row r="413" spans="1:17" x14ac:dyDescent="0.25">
      <c r="A413" s="1" t="s">
        <v>15</v>
      </c>
      <c r="B413" s="1" t="s">
        <v>23</v>
      </c>
      <c r="C413" s="1" t="s">
        <v>211</v>
      </c>
      <c r="D413" s="1">
        <v>109308</v>
      </c>
      <c r="E413" s="1" t="s">
        <v>294</v>
      </c>
      <c r="F413" s="1" t="s">
        <v>295</v>
      </c>
      <c r="G413" s="1">
        <v>50</v>
      </c>
      <c r="H413" s="1">
        <v>3</v>
      </c>
      <c r="I413" s="1" t="s">
        <v>298</v>
      </c>
      <c r="J413" s="1">
        <v>10</v>
      </c>
      <c r="K413" s="1" t="s">
        <v>300</v>
      </c>
      <c r="L413" s="1" t="s">
        <v>305</v>
      </c>
      <c r="M413" s="1">
        <v>2</v>
      </c>
      <c r="N413" s="1">
        <v>15</v>
      </c>
      <c r="O413" s="1">
        <v>92911.8</v>
      </c>
      <c r="P413" s="1">
        <f>Table1[[#This Row],[Rooms Booked]]/Table1[[#This Row],[Rooms Available]]*100</f>
        <v>6</v>
      </c>
      <c r="Q413" s="1">
        <f>Table1[[#This Row],[Revenue]]/Table1[[#This Row],[Rooms Booked]]</f>
        <v>36436</v>
      </c>
    </row>
    <row r="414" spans="1:17" x14ac:dyDescent="0.25">
      <c r="A414" s="1" t="s">
        <v>19</v>
      </c>
      <c r="B414" s="1" t="s">
        <v>23</v>
      </c>
      <c r="C414" s="1" t="s">
        <v>144</v>
      </c>
      <c r="D414" s="1">
        <v>0</v>
      </c>
      <c r="E414" s="1" t="s">
        <v>291</v>
      </c>
      <c r="F414" s="1" t="s">
        <v>295</v>
      </c>
      <c r="G414" s="1">
        <v>50</v>
      </c>
      <c r="H414" s="1">
        <v>5</v>
      </c>
      <c r="I414" s="1" t="s">
        <v>299</v>
      </c>
      <c r="J414" s="1">
        <v>11</v>
      </c>
      <c r="K414" s="1" t="s">
        <v>300</v>
      </c>
      <c r="L414" s="1" t="s">
        <v>306</v>
      </c>
      <c r="M414" s="1">
        <v>5</v>
      </c>
      <c r="N414" s="1">
        <v>0</v>
      </c>
      <c r="O414" s="1">
        <v>0</v>
      </c>
      <c r="P414" s="1">
        <f>Table1[[#This Row],[Rooms Booked]]/Table1[[#This Row],[Rooms Available]]*100</f>
        <v>10</v>
      </c>
      <c r="Q414" s="1">
        <f>Table1[[#This Row],[Revenue]]/Table1[[#This Row],[Rooms Booked]]</f>
        <v>0</v>
      </c>
    </row>
    <row r="415" spans="1:17" x14ac:dyDescent="0.25">
      <c r="A415" s="1" t="s">
        <v>18</v>
      </c>
      <c r="B415" s="1" t="s">
        <v>21</v>
      </c>
      <c r="C415" s="1" t="s">
        <v>196</v>
      </c>
      <c r="D415" s="1">
        <v>19684</v>
      </c>
      <c r="E415" s="1" t="s">
        <v>291</v>
      </c>
      <c r="F415" s="1" t="s">
        <v>295</v>
      </c>
      <c r="G415" s="1">
        <v>50</v>
      </c>
      <c r="H415" s="1">
        <v>1</v>
      </c>
      <c r="I415" s="1" t="s">
        <v>298</v>
      </c>
      <c r="J415" s="1">
        <v>25</v>
      </c>
      <c r="K415" s="1" t="s">
        <v>300</v>
      </c>
      <c r="L415" s="1" t="s">
        <v>305</v>
      </c>
      <c r="M415" s="1">
        <v>5</v>
      </c>
      <c r="N415" s="1">
        <v>10</v>
      </c>
      <c r="O415" s="1">
        <v>17715.599999999999</v>
      </c>
      <c r="P415" s="1">
        <f>Table1[[#This Row],[Rooms Booked]]/Table1[[#This Row],[Rooms Available]]*100</f>
        <v>2</v>
      </c>
      <c r="Q415" s="1">
        <f>Table1[[#This Row],[Revenue]]/Table1[[#This Row],[Rooms Booked]]</f>
        <v>19684</v>
      </c>
    </row>
    <row r="416" spans="1:17" x14ac:dyDescent="0.25">
      <c r="A416" s="1" t="s">
        <v>17</v>
      </c>
      <c r="B416" s="1" t="s">
        <v>21</v>
      </c>
      <c r="C416" s="1" t="s">
        <v>108</v>
      </c>
      <c r="D416" s="1">
        <v>29980</v>
      </c>
      <c r="E416" s="1" t="s">
        <v>293</v>
      </c>
      <c r="F416" s="1" t="s">
        <v>295</v>
      </c>
      <c r="G416" s="1">
        <v>50</v>
      </c>
      <c r="H416" s="1">
        <v>5</v>
      </c>
      <c r="I416" s="1" t="s">
        <v>298</v>
      </c>
      <c r="J416" s="1">
        <v>21</v>
      </c>
      <c r="K416" s="1" t="s">
        <v>300</v>
      </c>
      <c r="L416" s="1" t="s">
        <v>304</v>
      </c>
      <c r="M416" s="1">
        <v>4</v>
      </c>
      <c r="N416" s="1">
        <v>0</v>
      </c>
      <c r="O416" s="1">
        <v>29980</v>
      </c>
      <c r="P416" s="1">
        <f>Table1[[#This Row],[Rooms Booked]]/Table1[[#This Row],[Rooms Available]]*100</f>
        <v>10</v>
      </c>
      <c r="Q416" s="1">
        <f>Table1[[#This Row],[Revenue]]/Table1[[#This Row],[Rooms Booked]]</f>
        <v>5996</v>
      </c>
    </row>
    <row r="417" spans="1:17" x14ac:dyDescent="0.25">
      <c r="A417" s="1" t="s">
        <v>18</v>
      </c>
      <c r="B417" s="1" t="s">
        <v>23</v>
      </c>
      <c r="C417" s="1" t="s">
        <v>240</v>
      </c>
      <c r="D417" s="1">
        <v>0</v>
      </c>
      <c r="E417" s="1" t="s">
        <v>291</v>
      </c>
      <c r="F417" s="1" t="s">
        <v>295</v>
      </c>
      <c r="G417" s="1">
        <v>50</v>
      </c>
      <c r="H417" s="1">
        <v>4</v>
      </c>
      <c r="I417" s="1" t="s">
        <v>299</v>
      </c>
      <c r="J417" s="1">
        <v>1</v>
      </c>
      <c r="K417" s="1" t="s">
        <v>301</v>
      </c>
      <c r="L417" s="1" t="s">
        <v>303</v>
      </c>
      <c r="M417" s="1">
        <v>2</v>
      </c>
      <c r="N417" s="1">
        <v>10</v>
      </c>
      <c r="O417" s="1">
        <v>0</v>
      </c>
      <c r="P417" s="1">
        <f>Table1[[#This Row],[Rooms Booked]]/Table1[[#This Row],[Rooms Available]]*100</f>
        <v>8</v>
      </c>
      <c r="Q417" s="1">
        <f>Table1[[#This Row],[Revenue]]/Table1[[#This Row],[Rooms Booked]]</f>
        <v>0</v>
      </c>
    </row>
    <row r="418" spans="1:17" x14ac:dyDescent="0.25">
      <c r="A418" s="1" t="s">
        <v>19</v>
      </c>
      <c r="B418" s="1" t="s">
        <v>22</v>
      </c>
      <c r="C418" s="1" t="s">
        <v>202</v>
      </c>
      <c r="D418" s="1">
        <v>49884</v>
      </c>
      <c r="E418" s="1" t="s">
        <v>292</v>
      </c>
      <c r="F418" s="1" t="s">
        <v>295</v>
      </c>
      <c r="G418" s="1">
        <v>50</v>
      </c>
      <c r="H418" s="1">
        <v>2</v>
      </c>
      <c r="I418" s="1" t="s">
        <v>298</v>
      </c>
      <c r="J418" s="1">
        <v>14</v>
      </c>
      <c r="K418" s="1" t="s">
        <v>300</v>
      </c>
      <c r="L418" s="1" t="s">
        <v>304</v>
      </c>
      <c r="M418" s="1">
        <v>3</v>
      </c>
      <c r="N418" s="1">
        <v>10</v>
      </c>
      <c r="O418" s="1">
        <v>44895.6</v>
      </c>
      <c r="P418" s="1">
        <f>Table1[[#This Row],[Rooms Booked]]/Table1[[#This Row],[Rooms Available]]*100</f>
        <v>4</v>
      </c>
      <c r="Q418" s="1">
        <f>Table1[[#This Row],[Revenue]]/Table1[[#This Row],[Rooms Booked]]</f>
        <v>24942</v>
      </c>
    </row>
    <row r="419" spans="1:17" x14ac:dyDescent="0.25">
      <c r="A419" s="1" t="s">
        <v>17</v>
      </c>
      <c r="B419" s="1" t="s">
        <v>23</v>
      </c>
      <c r="C419" s="1" t="s">
        <v>237</v>
      </c>
      <c r="D419" s="1">
        <v>21192</v>
      </c>
      <c r="E419" s="1" t="s">
        <v>294</v>
      </c>
      <c r="F419" s="1" t="s">
        <v>297</v>
      </c>
      <c r="G419" s="1">
        <v>50</v>
      </c>
      <c r="H419" s="1">
        <v>2</v>
      </c>
      <c r="I419" s="1" t="s">
        <v>298</v>
      </c>
      <c r="J419" s="1">
        <v>19</v>
      </c>
      <c r="K419" s="1" t="s">
        <v>300</v>
      </c>
      <c r="L419" s="1" t="s">
        <v>306</v>
      </c>
      <c r="M419" s="1">
        <v>2</v>
      </c>
      <c r="N419" s="1">
        <v>0</v>
      </c>
      <c r="O419" s="1">
        <v>21192</v>
      </c>
      <c r="P419" s="1">
        <f>Table1[[#This Row],[Rooms Booked]]/Table1[[#This Row],[Rooms Available]]*100</f>
        <v>4</v>
      </c>
      <c r="Q419" s="1">
        <f>Table1[[#This Row],[Revenue]]/Table1[[#This Row],[Rooms Booked]]</f>
        <v>10596</v>
      </c>
    </row>
    <row r="420" spans="1:17" x14ac:dyDescent="0.25">
      <c r="A420" s="1" t="s">
        <v>20</v>
      </c>
      <c r="B420" s="1" t="s">
        <v>21</v>
      </c>
      <c r="C420" s="1" t="s">
        <v>267</v>
      </c>
      <c r="D420" s="1">
        <v>0</v>
      </c>
      <c r="E420" s="1" t="s">
        <v>293</v>
      </c>
      <c r="F420" s="1" t="s">
        <v>295</v>
      </c>
      <c r="G420" s="1">
        <v>50</v>
      </c>
      <c r="H420" s="1">
        <v>1</v>
      </c>
      <c r="I420" s="1" t="s">
        <v>299</v>
      </c>
      <c r="J420" s="1">
        <v>18</v>
      </c>
      <c r="K420" s="1" t="s">
        <v>300</v>
      </c>
      <c r="L420" s="1" t="s">
        <v>306</v>
      </c>
      <c r="M420" s="1">
        <v>4</v>
      </c>
      <c r="N420" s="1">
        <v>5</v>
      </c>
      <c r="O420" s="1">
        <v>0</v>
      </c>
      <c r="P420" s="1">
        <f>Table1[[#This Row],[Rooms Booked]]/Table1[[#This Row],[Rooms Available]]*100</f>
        <v>2</v>
      </c>
      <c r="Q420" s="1">
        <f>Table1[[#This Row],[Revenue]]/Table1[[#This Row],[Rooms Booked]]</f>
        <v>0</v>
      </c>
    </row>
    <row r="421" spans="1:17" x14ac:dyDescent="0.25">
      <c r="A421" s="1" t="s">
        <v>18</v>
      </c>
      <c r="B421" s="1" t="s">
        <v>23</v>
      </c>
      <c r="C421" s="1" t="s">
        <v>268</v>
      </c>
      <c r="D421" s="1">
        <v>108832</v>
      </c>
      <c r="E421" s="1" t="s">
        <v>293</v>
      </c>
      <c r="F421" s="1" t="s">
        <v>295</v>
      </c>
      <c r="G421" s="1">
        <v>50</v>
      </c>
      <c r="H421" s="1">
        <v>2</v>
      </c>
      <c r="I421" s="1" t="s">
        <v>298</v>
      </c>
      <c r="J421" s="1">
        <v>21</v>
      </c>
      <c r="K421" s="1" t="s">
        <v>301</v>
      </c>
      <c r="L421" s="1" t="s">
        <v>303</v>
      </c>
      <c r="M421" s="1">
        <v>2</v>
      </c>
      <c r="N421" s="1">
        <v>5</v>
      </c>
      <c r="O421" s="1">
        <v>103390.39999999999</v>
      </c>
      <c r="P421" s="1">
        <f>Table1[[#This Row],[Rooms Booked]]/Table1[[#This Row],[Rooms Available]]*100</f>
        <v>4</v>
      </c>
      <c r="Q421" s="1">
        <f>Table1[[#This Row],[Revenue]]/Table1[[#This Row],[Rooms Booked]]</f>
        <v>54416</v>
      </c>
    </row>
    <row r="422" spans="1:17" x14ac:dyDescent="0.25">
      <c r="A422" s="1" t="s">
        <v>20</v>
      </c>
      <c r="B422" s="1" t="s">
        <v>22</v>
      </c>
      <c r="C422" s="1" t="s">
        <v>85</v>
      </c>
      <c r="D422" s="1">
        <v>21676</v>
      </c>
      <c r="E422" s="1" t="s">
        <v>294</v>
      </c>
      <c r="F422" s="1" t="s">
        <v>295</v>
      </c>
      <c r="G422" s="1">
        <v>50</v>
      </c>
      <c r="H422" s="1">
        <v>4</v>
      </c>
      <c r="I422" s="1" t="s">
        <v>298</v>
      </c>
      <c r="J422" s="1">
        <v>8</v>
      </c>
      <c r="K422" s="1" t="s">
        <v>301</v>
      </c>
      <c r="L422" s="1" t="s">
        <v>305</v>
      </c>
      <c r="M422" s="1">
        <v>5</v>
      </c>
      <c r="N422" s="1">
        <v>10</v>
      </c>
      <c r="O422" s="1">
        <v>19508.400000000001</v>
      </c>
      <c r="P422" s="1">
        <f>Table1[[#This Row],[Rooms Booked]]/Table1[[#This Row],[Rooms Available]]*100</f>
        <v>8</v>
      </c>
      <c r="Q422" s="1">
        <f>Table1[[#This Row],[Revenue]]/Table1[[#This Row],[Rooms Booked]]</f>
        <v>5419</v>
      </c>
    </row>
    <row r="423" spans="1:17" x14ac:dyDescent="0.25">
      <c r="A423" s="1" t="s">
        <v>19</v>
      </c>
      <c r="B423" s="1" t="s">
        <v>22</v>
      </c>
      <c r="C423" s="1" t="s">
        <v>269</v>
      </c>
      <c r="D423" s="1">
        <v>258480</v>
      </c>
      <c r="E423" s="1" t="s">
        <v>291</v>
      </c>
      <c r="F423" s="1" t="s">
        <v>297</v>
      </c>
      <c r="G423" s="1">
        <v>50</v>
      </c>
      <c r="H423" s="1">
        <v>5</v>
      </c>
      <c r="I423" s="1" t="s">
        <v>298</v>
      </c>
      <c r="J423" s="1">
        <v>3</v>
      </c>
      <c r="K423" s="1" t="s">
        <v>300</v>
      </c>
      <c r="L423" s="1" t="s">
        <v>303</v>
      </c>
      <c r="M423" s="1">
        <v>4</v>
      </c>
      <c r="N423" s="1">
        <v>15</v>
      </c>
      <c r="O423" s="1">
        <v>219708</v>
      </c>
      <c r="P423" s="1">
        <f>Table1[[#This Row],[Rooms Booked]]/Table1[[#This Row],[Rooms Available]]*100</f>
        <v>10</v>
      </c>
      <c r="Q423" s="1">
        <f>Table1[[#This Row],[Revenue]]/Table1[[#This Row],[Rooms Booked]]</f>
        <v>51696</v>
      </c>
    </row>
    <row r="424" spans="1:17" x14ac:dyDescent="0.25">
      <c r="A424" s="1" t="s">
        <v>16</v>
      </c>
      <c r="B424" s="1" t="s">
        <v>21</v>
      </c>
      <c r="C424" s="1" t="s">
        <v>246</v>
      </c>
      <c r="D424" s="1">
        <v>0</v>
      </c>
      <c r="E424" s="1" t="s">
        <v>293</v>
      </c>
      <c r="F424" s="1" t="s">
        <v>295</v>
      </c>
      <c r="G424" s="1">
        <v>50</v>
      </c>
      <c r="H424" s="1">
        <v>5</v>
      </c>
      <c r="I424" s="1" t="s">
        <v>299</v>
      </c>
      <c r="J424" s="1">
        <v>16</v>
      </c>
      <c r="K424" s="1" t="s">
        <v>301</v>
      </c>
      <c r="L424" s="1" t="s">
        <v>303</v>
      </c>
      <c r="M424" s="1">
        <v>1</v>
      </c>
      <c r="N424" s="1">
        <v>5</v>
      </c>
      <c r="O424" s="1">
        <v>0</v>
      </c>
      <c r="P424" s="1">
        <f>Table1[[#This Row],[Rooms Booked]]/Table1[[#This Row],[Rooms Available]]*100</f>
        <v>10</v>
      </c>
      <c r="Q424" s="1">
        <f>Table1[[#This Row],[Revenue]]/Table1[[#This Row],[Rooms Booked]]</f>
        <v>0</v>
      </c>
    </row>
    <row r="425" spans="1:17" x14ac:dyDescent="0.25">
      <c r="A425" s="1" t="s">
        <v>17</v>
      </c>
      <c r="B425" s="1" t="s">
        <v>21</v>
      </c>
      <c r="C425" s="1" t="s">
        <v>180</v>
      </c>
      <c r="D425" s="1">
        <v>23013</v>
      </c>
      <c r="E425" s="1" t="s">
        <v>293</v>
      </c>
      <c r="F425" s="1" t="s">
        <v>295</v>
      </c>
      <c r="G425" s="1">
        <v>50</v>
      </c>
      <c r="H425" s="1">
        <v>1</v>
      </c>
      <c r="I425" s="1" t="s">
        <v>298</v>
      </c>
      <c r="J425" s="1">
        <v>14</v>
      </c>
      <c r="K425" s="1" t="s">
        <v>301</v>
      </c>
      <c r="L425" s="1" t="s">
        <v>303</v>
      </c>
      <c r="M425" s="1">
        <v>3</v>
      </c>
      <c r="N425" s="1">
        <v>15</v>
      </c>
      <c r="O425" s="1">
        <v>19561.05</v>
      </c>
      <c r="P425" s="1">
        <f>Table1[[#This Row],[Rooms Booked]]/Table1[[#This Row],[Rooms Available]]*100</f>
        <v>2</v>
      </c>
      <c r="Q425" s="1">
        <f>Table1[[#This Row],[Revenue]]/Table1[[#This Row],[Rooms Booked]]</f>
        <v>23013</v>
      </c>
    </row>
    <row r="426" spans="1:17" x14ac:dyDescent="0.25">
      <c r="A426" s="1" t="s">
        <v>18</v>
      </c>
      <c r="B426" s="1" t="s">
        <v>23</v>
      </c>
      <c r="C426" s="1" t="s">
        <v>258</v>
      </c>
      <c r="D426" s="1">
        <v>117684</v>
      </c>
      <c r="E426" s="1" t="s">
        <v>292</v>
      </c>
      <c r="F426" s="1" t="s">
        <v>295</v>
      </c>
      <c r="G426" s="1">
        <v>50</v>
      </c>
      <c r="H426" s="1">
        <v>4</v>
      </c>
      <c r="I426" s="1" t="s">
        <v>298</v>
      </c>
      <c r="J426" s="1">
        <v>25</v>
      </c>
      <c r="K426" s="1" t="s">
        <v>301</v>
      </c>
      <c r="L426" s="1" t="s">
        <v>306</v>
      </c>
      <c r="M426" s="1">
        <v>2</v>
      </c>
      <c r="N426" s="1">
        <v>15</v>
      </c>
      <c r="O426" s="1">
        <v>100031.4</v>
      </c>
      <c r="P426" s="1">
        <f>Table1[[#This Row],[Rooms Booked]]/Table1[[#This Row],[Rooms Available]]*100</f>
        <v>8</v>
      </c>
      <c r="Q426" s="1">
        <f>Table1[[#This Row],[Revenue]]/Table1[[#This Row],[Rooms Booked]]</f>
        <v>29421</v>
      </c>
    </row>
    <row r="427" spans="1:17" x14ac:dyDescent="0.25">
      <c r="A427" s="1" t="s">
        <v>18</v>
      </c>
      <c r="B427" s="1" t="s">
        <v>21</v>
      </c>
      <c r="C427" s="1" t="s">
        <v>268</v>
      </c>
      <c r="D427" s="1">
        <v>0</v>
      </c>
      <c r="E427" s="1" t="s">
        <v>292</v>
      </c>
      <c r="F427" s="1" t="s">
        <v>295</v>
      </c>
      <c r="G427" s="1">
        <v>50</v>
      </c>
      <c r="H427" s="1">
        <v>5</v>
      </c>
      <c r="I427" s="1" t="s">
        <v>299</v>
      </c>
      <c r="J427" s="1">
        <v>8</v>
      </c>
      <c r="K427" s="1" t="s">
        <v>300</v>
      </c>
      <c r="L427" s="1" t="s">
        <v>303</v>
      </c>
      <c r="M427" s="1">
        <v>5</v>
      </c>
      <c r="N427" s="1">
        <v>5</v>
      </c>
      <c r="O427" s="1">
        <v>0</v>
      </c>
      <c r="P427" s="1">
        <f>Table1[[#This Row],[Rooms Booked]]/Table1[[#This Row],[Rooms Available]]*100</f>
        <v>10</v>
      </c>
      <c r="Q427" s="1">
        <f>Table1[[#This Row],[Revenue]]/Table1[[#This Row],[Rooms Booked]]</f>
        <v>0</v>
      </c>
    </row>
    <row r="428" spans="1:17" x14ac:dyDescent="0.25">
      <c r="A428" s="1" t="s">
        <v>19</v>
      </c>
      <c r="B428" s="1" t="s">
        <v>21</v>
      </c>
      <c r="C428" s="1" t="s">
        <v>268</v>
      </c>
      <c r="D428" s="1">
        <v>42308</v>
      </c>
      <c r="E428" s="1" t="s">
        <v>292</v>
      </c>
      <c r="F428" s="1" t="s">
        <v>295</v>
      </c>
      <c r="G428" s="1">
        <v>50</v>
      </c>
      <c r="H428" s="1">
        <v>2</v>
      </c>
      <c r="I428" s="1" t="s">
        <v>298</v>
      </c>
      <c r="J428" s="1">
        <v>1</v>
      </c>
      <c r="K428" s="1" t="s">
        <v>301</v>
      </c>
      <c r="L428" s="1" t="s">
        <v>303</v>
      </c>
      <c r="M428" s="1">
        <v>1</v>
      </c>
      <c r="N428" s="1">
        <v>0</v>
      </c>
      <c r="O428" s="1">
        <v>42308</v>
      </c>
      <c r="P428" s="1">
        <f>Table1[[#This Row],[Rooms Booked]]/Table1[[#This Row],[Rooms Available]]*100</f>
        <v>4</v>
      </c>
      <c r="Q428" s="1">
        <f>Table1[[#This Row],[Revenue]]/Table1[[#This Row],[Rooms Booked]]</f>
        <v>21154</v>
      </c>
    </row>
    <row r="429" spans="1:17" x14ac:dyDescent="0.25">
      <c r="A429" s="1" t="s">
        <v>19</v>
      </c>
      <c r="B429" s="1" t="s">
        <v>23</v>
      </c>
      <c r="C429" s="1" t="s">
        <v>209</v>
      </c>
      <c r="D429" s="1">
        <v>0</v>
      </c>
      <c r="E429" s="1" t="s">
        <v>292</v>
      </c>
      <c r="F429" s="1" t="s">
        <v>295</v>
      </c>
      <c r="G429" s="1">
        <v>50</v>
      </c>
      <c r="H429" s="1">
        <v>5</v>
      </c>
      <c r="I429" s="1" t="s">
        <v>299</v>
      </c>
      <c r="J429" s="1">
        <v>21</v>
      </c>
      <c r="K429" s="1" t="s">
        <v>300</v>
      </c>
      <c r="L429" s="1" t="s">
        <v>305</v>
      </c>
      <c r="M429" s="1">
        <v>1</v>
      </c>
      <c r="N429" s="1">
        <v>15</v>
      </c>
      <c r="O429" s="1">
        <v>0</v>
      </c>
      <c r="P429" s="1">
        <f>Table1[[#This Row],[Rooms Booked]]/Table1[[#This Row],[Rooms Available]]*100</f>
        <v>10</v>
      </c>
      <c r="Q429" s="1">
        <f>Table1[[#This Row],[Revenue]]/Table1[[#This Row],[Rooms Booked]]</f>
        <v>0</v>
      </c>
    </row>
    <row r="430" spans="1:17" x14ac:dyDescent="0.25">
      <c r="A430" s="1" t="s">
        <v>17</v>
      </c>
      <c r="B430" s="1" t="s">
        <v>21</v>
      </c>
      <c r="C430" s="1" t="s">
        <v>270</v>
      </c>
      <c r="D430" s="1">
        <v>64232</v>
      </c>
      <c r="E430" s="1" t="s">
        <v>291</v>
      </c>
      <c r="F430" s="1" t="s">
        <v>295</v>
      </c>
      <c r="G430" s="1">
        <v>50</v>
      </c>
      <c r="H430" s="1">
        <v>4</v>
      </c>
      <c r="I430" s="1" t="s">
        <v>298</v>
      </c>
      <c r="J430" s="1">
        <v>22</v>
      </c>
      <c r="K430" s="1" t="s">
        <v>300</v>
      </c>
      <c r="L430" s="1" t="s">
        <v>304</v>
      </c>
      <c r="M430" s="1">
        <v>4</v>
      </c>
      <c r="N430" s="1">
        <v>10</v>
      </c>
      <c r="O430" s="1">
        <v>57808.800000000003</v>
      </c>
      <c r="P430" s="1">
        <f>Table1[[#This Row],[Rooms Booked]]/Table1[[#This Row],[Rooms Available]]*100</f>
        <v>8</v>
      </c>
      <c r="Q430" s="1">
        <f>Table1[[#This Row],[Revenue]]/Table1[[#This Row],[Rooms Booked]]</f>
        <v>16058</v>
      </c>
    </row>
    <row r="431" spans="1:17" x14ac:dyDescent="0.25">
      <c r="A431" s="1" t="s">
        <v>15</v>
      </c>
      <c r="B431" s="1" t="s">
        <v>21</v>
      </c>
      <c r="C431" s="1" t="s">
        <v>26</v>
      </c>
      <c r="D431" s="1">
        <v>69992</v>
      </c>
      <c r="E431" s="1" t="s">
        <v>293</v>
      </c>
      <c r="F431" s="1" t="s">
        <v>296</v>
      </c>
      <c r="G431" s="1">
        <v>50</v>
      </c>
      <c r="H431" s="1">
        <v>4</v>
      </c>
      <c r="I431" s="1" t="s">
        <v>298</v>
      </c>
      <c r="J431" s="1">
        <v>26</v>
      </c>
      <c r="K431" s="1" t="s">
        <v>301</v>
      </c>
      <c r="L431" s="1" t="s">
        <v>304</v>
      </c>
      <c r="M431" s="1">
        <v>4</v>
      </c>
      <c r="N431" s="1">
        <v>5</v>
      </c>
      <c r="O431" s="1">
        <v>66492.399999999994</v>
      </c>
      <c r="P431" s="1">
        <f>Table1[[#This Row],[Rooms Booked]]/Table1[[#This Row],[Rooms Available]]*100</f>
        <v>8</v>
      </c>
      <c r="Q431" s="1">
        <f>Table1[[#This Row],[Revenue]]/Table1[[#This Row],[Rooms Booked]]</f>
        <v>17498</v>
      </c>
    </row>
    <row r="432" spans="1:17" x14ac:dyDescent="0.25">
      <c r="A432" s="1" t="s">
        <v>17</v>
      </c>
      <c r="B432" s="1" t="s">
        <v>23</v>
      </c>
      <c r="C432" s="1" t="s">
        <v>38</v>
      </c>
      <c r="D432" s="1">
        <v>25600</v>
      </c>
      <c r="E432" s="1" t="s">
        <v>291</v>
      </c>
      <c r="F432" s="1" t="s">
        <v>296</v>
      </c>
      <c r="G432" s="1">
        <v>50</v>
      </c>
      <c r="H432" s="1">
        <v>2</v>
      </c>
      <c r="I432" s="1" t="s">
        <v>298</v>
      </c>
      <c r="J432" s="1">
        <v>16</v>
      </c>
      <c r="K432" s="1" t="s">
        <v>300</v>
      </c>
      <c r="L432" s="1" t="s">
        <v>306</v>
      </c>
      <c r="M432" s="1">
        <v>2</v>
      </c>
      <c r="N432" s="1">
        <v>15</v>
      </c>
      <c r="O432" s="1">
        <v>21760</v>
      </c>
      <c r="P432" s="1">
        <f>Table1[[#This Row],[Rooms Booked]]/Table1[[#This Row],[Rooms Available]]*100</f>
        <v>4</v>
      </c>
      <c r="Q432" s="1">
        <f>Table1[[#This Row],[Revenue]]/Table1[[#This Row],[Rooms Booked]]</f>
        <v>12800</v>
      </c>
    </row>
    <row r="433" spans="1:17" x14ac:dyDescent="0.25">
      <c r="A433" s="1" t="s">
        <v>15</v>
      </c>
      <c r="B433" s="1" t="s">
        <v>22</v>
      </c>
      <c r="C433" s="1" t="s">
        <v>271</v>
      </c>
      <c r="D433" s="1">
        <v>58430</v>
      </c>
      <c r="E433" s="1" t="s">
        <v>294</v>
      </c>
      <c r="F433" s="1" t="s">
        <v>296</v>
      </c>
      <c r="G433" s="1">
        <v>50</v>
      </c>
      <c r="H433" s="1">
        <v>5</v>
      </c>
      <c r="I433" s="1" t="s">
        <v>298</v>
      </c>
      <c r="J433" s="1">
        <v>30</v>
      </c>
      <c r="K433" s="1" t="s">
        <v>301</v>
      </c>
      <c r="L433" s="1" t="s">
        <v>305</v>
      </c>
      <c r="M433" s="1">
        <v>3</v>
      </c>
      <c r="N433" s="1">
        <v>15</v>
      </c>
      <c r="O433" s="1">
        <v>49665.5</v>
      </c>
      <c r="P433" s="1">
        <f>Table1[[#This Row],[Rooms Booked]]/Table1[[#This Row],[Rooms Available]]*100</f>
        <v>10</v>
      </c>
      <c r="Q433" s="1">
        <f>Table1[[#This Row],[Revenue]]/Table1[[#This Row],[Rooms Booked]]</f>
        <v>11686</v>
      </c>
    </row>
    <row r="434" spans="1:17" x14ac:dyDescent="0.25">
      <c r="A434" s="1" t="s">
        <v>16</v>
      </c>
      <c r="B434" s="1" t="s">
        <v>21</v>
      </c>
      <c r="C434" s="1" t="s">
        <v>169</v>
      </c>
      <c r="D434" s="1">
        <v>38712</v>
      </c>
      <c r="E434" s="1" t="s">
        <v>291</v>
      </c>
      <c r="F434" s="1" t="s">
        <v>295</v>
      </c>
      <c r="G434" s="1">
        <v>50</v>
      </c>
      <c r="H434" s="1">
        <v>3</v>
      </c>
      <c r="I434" s="1" t="s">
        <v>298</v>
      </c>
      <c r="J434" s="1">
        <v>6</v>
      </c>
      <c r="K434" s="1" t="s">
        <v>301</v>
      </c>
      <c r="L434" s="1" t="s">
        <v>305</v>
      </c>
      <c r="M434" s="1">
        <v>3</v>
      </c>
      <c r="N434" s="1">
        <v>15</v>
      </c>
      <c r="O434" s="1">
        <v>32905.199999999997</v>
      </c>
      <c r="P434" s="1">
        <f>Table1[[#This Row],[Rooms Booked]]/Table1[[#This Row],[Rooms Available]]*100</f>
        <v>6</v>
      </c>
      <c r="Q434" s="1">
        <f>Table1[[#This Row],[Revenue]]/Table1[[#This Row],[Rooms Booked]]</f>
        <v>12904</v>
      </c>
    </row>
    <row r="435" spans="1:17" x14ac:dyDescent="0.25">
      <c r="A435" s="1" t="s">
        <v>18</v>
      </c>
      <c r="B435" s="1" t="s">
        <v>21</v>
      </c>
      <c r="C435" s="1" t="s">
        <v>271</v>
      </c>
      <c r="D435" s="1">
        <v>200420</v>
      </c>
      <c r="E435" s="1" t="s">
        <v>294</v>
      </c>
      <c r="F435" s="1" t="s">
        <v>296</v>
      </c>
      <c r="G435" s="1">
        <v>50</v>
      </c>
      <c r="H435" s="1">
        <v>5</v>
      </c>
      <c r="I435" s="1" t="s">
        <v>298</v>
      </c>
      <c r="J435" s="1">
        <v>10</v>
      </c>
      <c r="K435" s="1" t="s">
        <v>301</v>
      </c>
      <c r="L435" s="1" t="s">
        <v>304</v>
      </c>
      <c r="M435" s="1">
        <v>1</v>
      </c>
      <c r="N435" s="1">
        <v>10</v>
      </c>
      <c r="O435" s="1">
        <v>180378</v>
      </c>
      <c r="P435" s="1">
        <f>Table1[[#This Row],[Rooms Booked]]/Table1[[#This Row],[Rooms Available]]*100</f>
        <v>10</v>
      </c>
      <c r="Q435" s="1">
        <f>Table1[[#This Row],[Revenue]]/Table1[[#This Row],[Rooms Booked]]</f>
        <v>40084</v>
      </c>
    </row>
    <row r="436" spans="1:17" x14ac:dyDescent="0.25">
      <c r="A436" s="1" t="s">
        <v>20</v>
      </c>
      <c r="B436" s="1" t="s">
        <v>22</v>
      </c>
      <c r="C436" s="1" t="s">
        <v>99</v>
      </c>
      <c r="D436" s="1">
        <v>0</v>
      </c>
      <c r="E436" s="1" t="s">
        <v>294</v>
      </c>
      <c r="F436" s="1" t="s">
        <v>296</v>
      </c>
      <c r="G436" s="1">
        <v>50</v>
      </c>
      <c r="H436" s="1">
        <v>5</v>
      </c>
      <c r="I436" s="1" t="s">
        <v>299</v>
      </c>
      <c r="J436" s="1">
        <v>29</v>
      </c>
      <c r="K436" s="1" t="s">
        <v>300</v>
      </c>
      <c r="L436" s="1" t="s">
        <v>304</v>
      </c>
      <c r="M436" s="1">
        <v>2</v>
      </c>
      <c r="N436" s="1">
        <v>10</v>
      </c>
      <c r="O436" s="1">
        <v>0</v>
      </c>
      <c r="P436" s="1">
        <f>Table1[[#This Row],[Rooms Booked]]/Table1[[#This Row],[Rooms Available]]*100</f>
        <v>10</v>
      </c>
      <c r="Q436" s="1">
        <f>Table1[[#This Row],[Revenue]]/Table1[[#This Row],[Rooms Booked]]</f>
        <v>0</v>
      </c>
    </row>
    <row r="437" spans="1:17" x14ac:dyDescent="0.25">
      <c r="A437" s="1" t="s">
        <v>15</v>
      </c>
      <c r="B437" s="1" t="s">
        <v>21</v>
      </c>
      <c r="C437" s="1" t="s">
        <v>60</v>
      </c>
      <c r="D437" s="1">
        <v>83864</v>
      </c>
      <c r="E437" s="1" t="s">
        <v>294</v>
      </c>
      <c r="F437" s="1" t="s">
        <v>296</v>
      </c>
      <c r="G437" s="1">
        <v>50</v>
      </c>
      <c r="H437" s="1">
        <v>4</v>
      </c>
      <c r="I437" s="1" t="s">
        <v>298</v>
      </c>
      <c r="J437" s="1">
        <v>22</v>
      </c>
      <c r="K437" s="1" t="s">
        <v>300</v>
      </c>
      <c r="L437" s="1" t="s">
        <v>304</v>
      </c>
      <c r="M437" s="1">
        <v>5</v>
      </c>
      <c r="N437" s="1">
        <v>0</v>
      </c>
      <c r="O437" s="1">
        <v>83864</v>
      </c>
      <c r="P437" s="1">
        <f>Table1[[#This Row],[Rooms Booked]]/Table1[[#This Row],[Rooms Available]]*100</f>
        <v>8</v>
      </c>
      <c r="Q437" s="1">
        <f>Table1[[#This Row],[Revenue]]/Table1[[#This Row],[Rooms Booked]]</f>
        <v>20966</v>
      </c>
    </row>
    <row r="438" spans="1:17" x14ac:dyDescent="0.25">
      <c r="A438" s="1" t="s">
        <v>20</v>
      </c>
      <c r="B438" s="1" t="s">
        <v>21</v>
      </c>
      <c r="C438" s="1" t="s">
        <v>272</v>
      </c>
      <c r="D438" s="1">
        <v>27880</v>
      </c>
      <c r="E438" s="1" t="s">
        <v>292</v>
      </c>
      <c r="F438" s="1" t="s">
        <v>296</v>
      </c>
      <c r="G438" s="1">
        <v>50</v>
      </c>
      <c r="H438" s="1">
        <v>5</v>
      </c>
      <c r="I438" s="1" t="s">
        <v>298</v>
      </c>
      <c r="J438" s="1">
        <v>9</v>
      </c>
      <c r="K438" s="1" t="s">
        <v>301</v>
      </c>
      <c r="L438" s="1" t="s">
        <v>306</v>
      </c>
      <c r="M438" s="1">
        <v>3</v>
      </c>
      <c r="N438" s="1">
        <v>15</v>
      </c>
      <c r="O438" s="1">
        <v>23698</v>
      </c>
      <c r="P438" s="1">
        <f>Table1[[#This Row],[Rooms Booked]]/Table1[[#This Row],[Rooms Available]]*100</f>
        <v>10</v>
      </c>
      <c r="Q438" s="1">
        <f>Table1[[#This Row],[Revenue]]/Table1[[#This Row],[Rooms Booked]]</f>
        <v>5576</v>
      </c>
    </row>
    <row r="439" spans="1:17" x14ac:dyDescent="0.25">
      <c r="A439" s="1" t="s">
        <v>15</v>
      </c>
      <c r="B439" s="1" t="s">
        <v>23</v>
      </c>
      <c r="C439" s="1" t="s">
        <v>48</v>
      </c>
      <c r="D439" s="1">
        <v>12107</v>
      </c>
      <c r="E439" s="1" t="s">
        <v>292</v>
      </c>
      <c r="F439" s="1" t="s">
        <v>295</v>
      </c>
      <c r="G439" s="1">
        <v>50</v>
      </c>
      <c r="H439" s="1">
        <v>1</v>
      </c>
      <c r="I439" s="1" t="s">
        <v>298</v>
      </c>
      <c r="J439" s="1">
        <v>21</v>
      </c>
      <c r="K439" s="1" t="s">
        <v>300</v>
      </c>
      <c r="L439" s="1" t="s">
        <v>302</v>
      </c>
      <c r="M439" s="1">
        <v>1</v>
      </c>
      <c r="N439" s="1">
        <v>5</v>
      </c>
      <c r="O439" s="1">
        <v>11501.65</v>
      </c>
      <c r="P439" s="1">
        <f>Table1[[#This Row],[Rooms Booked]]/Table1[[#This Row],[Rooms Available]]*100</f>
        <v>2</v>
      </c>
      <c r="Q439" s="1">
        <f>Table1[[#This Row],[Revenue]]/Table1[[#This Row],[Rooms Booked]]</f>
        <v>12107</v>
      </c>
    </row>
    <row r="440" spans="1:17" x14ac:dyDescent="0.25">
      <c r="A440" s="1" t="s">
        <v>16</v>
      </c>
      <c r="B440" s="1" t="s">
        <v>21</v>
      </c>
      <c r="C440" s="1" t="s">
        <v>273</v>
      </c>
      <c r="D440" s="1">
        <v>71754</v>
      </c>
      <c r="E440" s="1" t="s">
        <v>293</v>
      </c>
      <c r="F440" s="1" t="s">
        <v>295</v>
      </c>
      <c r="G440" s="1">
        <v>50</v>
      </c>
      <c r="H440" s="1">
        <v>3</v>
      </c>
      <c r="I440" s="1" t="s">
        <v>298</v>
      </c>
      <c r="J440" s="1">
        <v>10</v>
      </c>
      <c r="K440" s="1" t="s">
        <v>301</v>
      </c>
      <c r="L440" s="1" t="s">
        <v>303</v>
      </c>
      <c r="M440" s="1">
        <v>3</v>
      </c>
      <c r="N440" s="1">
        <v>15</v>
      </c>
      <c r="O440" s="1">
        <v>60990.9</v>
      </c>
      <c r="P440" s="1">
        <f>Table1[[#This Row],[Rooms Booked]]/Table1[[#This Row],[Rooms Available]]*100</f>
        <v>6</v>
      </c>
      <c r="Q440" s="1">
        <f>Table1[[#This Row],[Revenue]]/Table1[[#This Row],[Rooms Booked]]</f>
        <v>23918</v>
      </c>
    </row>
    <row r="441" spans="1:17" x14ac:dyDescent="0.25">
      <c r="A441" s="1" t="s">
        <v>15</v>
      </c>
      <c r="B441" s="1" t="s">
        <v>22</v>
      </c>
      <c r="C441" s="1" t="s">
        <v>274</v>
      </c>
      <c r="D441" s="1">
        <v>143316</v>
      </c>
      <c r="E441" s="1" t="s">
        <v>291</v>
      </c>
      <c r="F441" s="1" t="s">
        <v>295</v>
      </c>
      <c r="G441" s="1">
        <v>50</v>
      </c>
      <c r="H441" s="1">
        <v>3</v>
      </c>
      <c r="I441" s="1" t="s">
        <v>298</v>
      </c>
      <c r="J441" s="1">
        <v>6</v>
      </c>
      <c r="K441" s="1" t="s">
        <v>301</v>
      </c>
      <c r="L441" s="1" t="s">
        <v>302</v>
      </c>
      <c r="M441" s="1">
        <v>1</v>
      </c>
      <c r="N441" s="1">
        <v>10</v>
      </c>
      <c r="O441" s="1">
        <v>128984.4</v>
      </c>
      <c r="P441" s="1">
        <f>Table1[[#This Row],[Rooms Booked]]/Table1[[#This Row],[Rooms Available]]*100</f>
        <v>6</v>
      </c>
      <c r="Q441" s="1">
        <f>Table1[[#This Row],[Revenue]]/Table1[[#This Row],[Rooms Booked]]</f>
        <v>47772</v>
      </c>
    </row>
    <row r="442" spans="1:17" x14ac:dyDescent="0.25">
      <c r="A442" s="1" t="s">
        <v>17</v>
      </c>
      <c r="B442" s="1" t="s">
        <v>22</v>
      </c>
      <c r="C442" s="1" t="s">
        <v>275</v>
      </c>
      <c r="D442" s="1">
        <v>18904</v>
      </c>
      <c r="E442" s="1" t="s">
        <v>293</v>
      </c>
      <c r="F442" s="1" t="s">
        <v>297</v>
      </c>
      <c r="G442" s="1">
        <v>50</v>
      </c>
      <c r="H442" s="1">
        <v>2</v>
      </c>
      <c r="I442" s="1" t="s">
        <v>298</v>
      </c>
      <c r="J442" s="1">
        <v>30</v>
      </c>
      <c r="K442" s="1" t="s">
        <v>301</v>
      </c>
      <c r="L442" s="1" t="s">
        <v>306</v>
      </c>
      <c r="M442" s="1">
        <v>2</v>
      </c>
      <c r="N442" s="1">
        <v>10</v>
      </c>
      <c r="O442" s="1">
        <v>17013.599999999999</v>
      </c>
      <c r="P442" s="1">
        <f>Table1[[#This Row],[Rooms Booked]]/Table1[[#This Row],[Rooms Available]]*100</f>
        <v>4</v>
      </c>
      <c r="Q442" s="1">
        <f>Table1[[#This Row],[Revenue]]/Table1[[#This Row],[Rooms Booked]]</f>
        <v>9452</v>
      </c>
    </row>
    <row r="443" spans="1:17" x14ac:dyDescent="0.25">
      <c r="A443" s="1" t="s">
        <v>17</v>
      </c>
      <c r="B443" s="1" t="s">
        <v>21</v>
      </c>
      <c r="C443" s="1" t="s">
        <v>71</v>
      </c>
      <c r="D443" s="1">
        <v>26400</v>
      </c>
      <c r="E443" s="1" t="s">
        <v>291</v>
      </c>
      <c r="F443" s="1" t="s">
        <v>297</v>
      </c>
      <c r="G443" s="1">
        <v>50</v>
      </c>
      <c r="H443" s="1">
        <v>2</v>
      </c>
      <c r="I443" s="1" t="s">
        <v>298</v>
      </c>
      <c r="J443" s="1">
        <v>11</v>
      </c>
      <c r="K443" s="1" t="s">
        <v>300</v>
      </c>
      <c r="L443" s="1" t="s">
        <v>305</v>
      </c>
      <c r="M443" s="1">
        <v>5</v>
      </c>
      <c r="N443" s="1">
        <v>15</v>
      </c>
      <c r="O443" s="1">
        <v>22440</v>
      </c>
      <c r="P443" s="1">
        <f>Table1[[#This Row],[Rooms Booked]]/Table1[[#This Row],[Rooms Available]]*100</f>
        <v>4</v>
      </c>
      <c r="Q443" s="1">
        <f>Table1[[#This Row],[Revenue]]/Table1[[#This Row],[Rooms Booked]]</f>
        <v>13200</v>
      </c>
    </row>
    <row r="444" spans="1:17" x14ac:dyDescent="0.25">
      <c r="A444" s="1" t="s">
        <v>16</v>
      </c>
      <c r="B444" s="1" t="s">
        <v>23</v>
      </c>
      <c r="C444" s="1" t="s">
        <v>119</v>
      </c>
      <c r="D444" s="1">
        <v>45768</v>
      </c>
      <c r="E444" s="1" t="s">
        <v>293</v>
      </c>
      <c r="F444" s="1" t="s">
        <v>295</v>
      </c>
      <c r="G444" s="1">
        <v>50</v>
      </c>
      <c r="H444" s="1">
        <v>2</v>
      </c>
      <c r="I444" s="1" t="s">
        <v>298</v>
      </c>
      <c r="J444" s="1">
        <v>19</v>
      </c>
      <c r="K444" s="1" t="s">
        <v>300</v>
      </c>
      <c r="L444" s="1" t="s">
        <v>303</v>
      </c>
      <c r="M444" s="1">
        <v>2</v>
      </c>
      <c r="N444" s="1">
        <v>0</v>
      </c>
      <c r="O444" s="1">
        <v>45768</v>
      </c>
      <c r="P444" s="1">
        <f>Table1[[#This Row],[Rooms Booked]]/Table1[[#This Row],[Rooms Available]]*100</f>
        <v>4</v>
      </c>
      <c r="Q444" s="1">
        <f>Table1[[#This Row],[Revenue]]/Table1[[#This Row],[Rooms Booked]]</f>
        <v>22884</v>
      </c>
    </row>
    <row r="445" spans="1:17" x14ac:dyDescent="0.25">
      <c r="A445" s="1" t="s">
        <v>16</v>
      </c>
      <c r="B445" s="1" t="s">
        <v>22</v>
      </c>
      <c r="C445" s="1" t="s">
        <v>253</v>
      </c>
      <c r="D445" s="1">
        <v>28312</v>
      </c>
      <c r="E445" s="1" t="s">
        <v>291</v>
      </c>
      <c r="F445" s="1" t="s">
        <v>297</v>
      </c>
      <c r="G445" s="1">
        <v>50</v>
      </c>
      <c r="H445" s="1">
        <v>2</v>
      </c>
      <c r="I445" s="1" t="s">
        <v>298</v>
      </c>
      <c r="J445" s="1">
        <v>14</v>
      </c>
      <c r="K445" s="1" t="s">
        <v>300</v>
      </c>
      <c r="L445" s="1" t="s">
        <v>304</v>
      </c>
      <c r="M445" s="1">
        <v>2</v>
      </c>
      <c r="N445" s="1">
        <v>15</v>
      </c>
      <c r="O445" s="1">
        <v>24065.200000000001</v>
      </c>
      <c r="P445" s="1">
        <f>Table1[[#This Row],[Rooms Booked]]/Table1[[#This Row],[Rooms Available]]*100</f>
        <v>4</v>
      </c>
      <c r="Q445" s="1">
        <f>Table1[[#This Row],[Revenue]]/Table1[[#This Row],[Rooms Booked]]</f>
        <v>14156</v>
      </c>
    </row>
    <row r="446" spans="1:17" x14ac:dyDescent="0.25">
      <c r="A446" s="1" t="s">
        <v>19</v>
      </c>
      <c r="B446" s="1" t="s">
        <v>21</v>
      </c>
      <c r="C446" s="1" t="s">
        <v>241</v>
      </c>
      <c r="D446" s="1">
        <v>24728</v>
      </c>
      <c r="E446" s="1" t="s">
        <v>293</v>
      </c>
      <c r="F446" s="1" t="s">
        <v>296</v>
      </c>
      <c r="G446" s="1">
        <v>50</v>
      </c>
      <c r="H446" s="1">
        <v>2</v>
      </c>
      <c r="I446" s="1" t="s">
        <v>298</v>
      </c>
      <c r="J446" s="1">
        <v>2</v>
      </c>
      <c r="K446" s="1" t="s">
        <v>301</v>
      </c>
      <c r="L446" s="1" t="s">
        <v>305</v>
      </c>
      <c r="M446" s="1">
        <v>4</v>
      </c>
      <c r="N446" s="1">
        <v>10</v>
      </c>
      <c r="O446" s="1">
        <v>22255.200000000001</v>
      </c>
      <c r="P446" s="1">
        <f>Table1[[#This Row],[Rooms Booked]]/Table1[[#This Row],[Rooms Available]]*100</f>
        <v>4</v>
      </c>
      <c r="Q446" s="1">
        <f>Table1[[#This Row],[Revenue]]/Table1[[#This Row],[Rooms Booked]]</f>
        <v>12364</v>
      </c>
    </row>
    <row r="447" spans="1:17" x14ac:dyDescent="0.25">
      <c r="A447" s="1" t="s">
        <v>19</v>
      </c>
      <c r="B447" s="1" t="s">
        <v>23</v>
      </c>
      <c r="C447" s="1" t="s">
        <v>140</v>
      </c>
      <c r="D447" s="1">
        <v>0</v>
      </c>
      <c r="E447" s="1" t="s">
        <v>292</v>
      </c>
      <c r="F447" s="1" t="s">
        <v>295</v>
      </c>
      <c r="G447" s="1">
        <v>50</v>
      </c>
      <c r="H447" s="1">
        <v>3</v>
      </c>
      <c r="I447" s="1" t="s">
        <v>299</v>
      </c>
      <c r="J447" s="1">
        <v>24</v>
      </c>
      <c r="K447" s="1" t="s">
        <v>301</v>
      </c>
      <c r="L447" s="1" t="s">
        <v>302</v>
      </c>
      <c r="M447" s="1">
        <v>3</v>
      </c>
      <c r="N447" s="1">
        <v>0</v>
      </c>
      <c r="O447" s="1">
        <v>0</v>
      </c>
      <c r="P447" s="1">
        <f>Table1[[#This Row],[Rooms Booked]]/Table1[[#This Row],[Rooms Available]]*100</f>
        <v>6</v>
      </c>
      <c r="Q447" s="1">
        <f>Table1[[#This Row],[Revenue]]/Table1[[#This Row],[Rooms Booked]]</f>
        <v>0</v>
      </c>
    </row>
    <row r="448" spans="1:17" x14ac:dyDescent="0.25">
      <c r="A448" s="1" t="s">
        <v>16</v>
      </c>
      <c r="B448" s="1" t="s">
        <v>22</v>
      </c>
      <c r="C448" s="1" t="s">
        <v>137</v>
      </c>
      <c r="D448" s="1">
        <v>105472</v>
      </c>
      <c r="E448" s="1" t="s">
        <v>293</v>
      </c>
      <c r="F448" s="1" t="s">
        <v>295</v>
      </c>
      <c r="G448" s="1">
        <v>50</v>
      </c>
      <c r="H448" s="1">
        <v>4</v>
      </c>
      <c r="I448" s="1" t="s">
        <v>298</v>
      </c>
      <c r="J448" s="1">
        <v>5</v>
      </c>
      <c r="K448" s="1" t="s">
        <v>300</v>
      </c>
      <c r="L448" s="1" t="s">
        <v>302</v>
      </c>
      <c r="M448" s="1">
        <v>2</v>
      </c>
      <c r="N448" s="1">
        <v>0</v>
      </c>
      <c r="O448" s="1">
        <v>105472</v>
      </c>
      <c r="P448" s="1">
        <f>Table1[[#This Row],[Rooms Booked]]/Table1[[#This Row],[Rooms Available]]*100</f>
        <v>8</v>
      </c>
      <c r="Q448" s="1">
        <f>Table1[[#This Row],[Revenue]]/Table1[[#This Row],[Rooms Booked]]</f>
        <v>26368</v>
      </c>
    </row>
    <row r="449" spans="1:17" x14ac:dyDescent="0.25">
      <c r="A449" s="1" t="s">
        <v>15</v>
      </c>
      <c r="B449" s="1" t="s">
        <v>22</v>
      </c>
      <c r="C449" s="1" t="s">
        <v>71</v>
      </c>
      <c r="D449" s="1">
        <v>0</v>
      </c>
      <c r="E449" s="1" t="s">
        <v>292</v>
      </c>
      <c r="F449" s="1" t="s">
        <v>297</v>
      </c>
      <c r="G449" s="1">
        <v>50</v>
      </c>
      <c r="H449" s="1">
        <v>2</v>
      </c>
      <c r="I449" s="1" t="s">
        <v>299</v>
      </c>
      <c r="J449" s="1">
        <v>23</v>
      </c>
      <c r="K449" s="1" t="s">
        <v>301</v>
      </c>
      <c r="L449" s="1" t="s">
        <v>305</v>
      </c>
      <c r="M449" s="1">
        <v>4</v>
      </c>
      <c r="N449" s="1">
        <v>15</v>
      </c>
      <c r="O449" s="1">
        <v>0</v>
      </c>
      <c r="P449" s="1">
        <f>Table1[[#This Row],[Rooms Booked]]/Table1[[#This Row],[Rooms Available]]*100</f>
        <v>4</v>
      </c>
      <c r="Q449" s="1">
        <f>Table1[[#This Row],[Revenue]]/Table1[[#This Row],[Rooms Booked]]</f>
        <v>0</v>
      </c>
    </row>
    <row r="450" spans="1:17" x14ac:dyDescent="0.25">
      <c r="A450" s="1" t="s">
        <v>15</v>
      </c>
      <c r="B450" s="1" t="s">
        <v>22</v>
      </c>
      <c r="C450" s="1" t="s">
        <v>161</v>
      </c>
      <c r="D450" s="1">
        <v>76329</v>
      </c>
      <c r="E450" s="1" t="s">
        <v>294</v>
      </c>
      <c r="F450" s="1" t="s">
        <v>297</v>
      </c>
      <c r="G450" s="1">
        <v>50</v>
      </c>
      <c r="H450" s="1">
        <v>3</v>
      </c>
      <c r="I450" s="1" t="s">
        <v>298</v>
      </c>
      <c r="J450" s="1">
        <v>3</v>
      </c>
      <c r="K450" s="1" t="s">
        <v>301</v>
      </c>
      <c r="L450" s="1" t="s">
        <v>306</v>
      </c>
      <c r="M450" s="1">
        <v>4</v>
      </c>
      <c r="N450" s="1">
        <v>5</v>
      </c>
      <c r="O450" s="1">
        <v>72512.55</v>
      </c>
      <c r="P450" s="1">
        <f>Table1[[#This Row],[Rooms Booked]]/Table1[[#This Row],[Rooms Available]]*100</f>
        <v>6</v>
      </c>
      <c r="Q450" s="1">
        <f>Table1[[#This Row],[Revenue]]/Table1[[#This Row],[Rooms Booked]]</f>
        <v>25443</v>
      </c>
    </row>
    <row r="451" spans="1:17" x14ac:dyDescent="0.25">
      <c r="A451" s="1" t="s">
        <v>20</v>
      </c>
      <c r="B451" s="1" t="s">
        <v>22</v>
      </c>
      <c r="C451" s="1" t="s">
        <v>148</v>
      </c>
      <c r="D451" s="1">
        <v>0</v>
      </c>
      <c r="E451" s="1" t="s">
        <v>292</v>
      </c>
      <c r="F451" s="1" t="s">
        <v>296</v>
      </c>
      <c r="G451" s="1">
        <v>50</v>
      </c>
      <c r="H451" s="1">
        <v>4</v>
      </c>
      <c r="I451" s="1" t="s">
        <v>299</v>
      </c>
      <c r="J451" s="1">
        <v>28</v>
      </c>
      <c r="K451" s="1" t="s">
        <v>301</v>
      </c>
      <c r="L451" s="1" t="s">
        <v>303</v>
      </c>
      <c r="M451" s="1">
        <v>3</v>
      </c>
      <c r="N451" s="1">
        <v>15</v>
      </c>
      <c r="O451" s="1">
        <v>0</v>
      </c>
      <c r="P451" s="1">
        <f>Table1[[#This Row],[Rooms Booked]]/Table1[[#This Row],[Rooms Available]]*100</f>
        <v>8</v>
      </c>
      <c r="Q451" s="1">
        <f>Table1[[#This Row],[Revenue]]/Table1[[#This Row],[Rooms Booked]]</f>
        <v>0</v>
      </c>
    </row>
    <row r="452" spans="1:17" x14ac:dyDescent="0.25">
      <c r="A452" s="1" t="s">
        <v>17</v>
      </c>
      <c r="B452" s="1" t="s">
        <v>23</v>
      </c>
      <c r="C452" s="1" t="s">
        <v>230</v>
      </c>
      <c r="D452" s="1">
        <v>56560</v>
      </c>
      <c r="E452" s="1" t="s">
        <v>292</v>
      </c>
      <c r="F452" s="1" t="s">
        <v>295</v>
      </c>
      <c r="G452" s="1">
        <v>50</v>
      </c>
      <c r="H452" s="1">
        <v>1</v>
      </c>
      <c r="I452" s="1" t="s">
        <v>298</v>
      </c>
      <c r="J452" s="1">
        <v>25</v>
      </c>
      <c r="K452" s="1" t="s">
        <v>301</v>
      </c>
      <c r="L452" s="1" t="s">
        <v>305</v>
      </c>
      <c r="M452" s="1">
        <v>2</v>
      </c>
      <c r="N452" s="1">
        <v>5</v>
      </c>
      <c r="O452" s="1">
        <v>53732</v>
      </c>
      <c r="P452" s="1">
        <f>Table1[[#This Row],[Rooms Booked]]/Table1[[#This Row],[Rooms Available]]*100</f>
        <v>2</v>
      </c>
      <c r="Q452" s="1">
        <f>Table1[[#This Row],[Revenue]]/Table1[[#This Row],[Rooms Booked]]</f>
        <v>56560</v>
      </c>
    </row>
    <row r="453" spans="1:17" x14ac:dyDescent="0.25">
      <c r="A453" s="1" t="s">
        <v>18</v>
      </c>
      <c r="B453" s="1" t="s">
        <v>21</v>
      </c>
      <c r="C453" s="1" t="s">
        <v>121</v>
      </c>
      <c r="D453" s="1">
        <v>17048</v>
      </c>
      <c r="E453" s="1" t="s">
        <v>293</v>
      </c>
      <c r="F453" s="1" t="s">
        <v>297</v>
      </c>
      <c r="G453" s="1">
        <v>50</v>
      </c>
      <c r="H453" s="1">
        <v>1</v>
      </c>
      <c r="I453" s="1" t="s">
        <v>298</v>
      </c>
      <c r="J453" s="1">
        <v>30</v>
      </c>
      <c r="K453" s="1" t="s">
        <v>300</v>
      </c>
      <c r="L453" s="1" t="s">
        <v>303</v>
      </c>
      <c r="M453" s="1">
        <v>2</v>
      </c>
      <c r="N453" s="1">
        <v>5</v>
      </c>
      <c r="O453" s="1">
        <v>16195.6</v>
      </c>
      <c r="P453" s="1">
        <f>Table1[[#This Row],[Rooms Booked]]/Table1[[#This Row],[Rooms Available]]*100</f>
        <v>2</v>
      </c>
      <c r="Q453" s="1">
        <f>Table1[[#This Row],[Revenue]]/Table1[[#This Row],[Rooms Booked]]</f>
        <v>17048</v>
      </c>
    </row>
    <row r="454" spans="1:17" x14ac:dyDescent="0.25">
      <c r="A454" s="1" t="s">
        <v>15</v>
      </c>
      <c r="B454" s="1" t="s">
        <v>21</v>
      </c>
      <c r="C454" s="1" t="s">
        <v>194</v>
      </c>
      <c r="D454" s="1">
        <v>95664</v>
      </c>
      <c r="E454" s="1" t="s">
        <v>293</v>
      </c>
      <c r="F454" s="1" t="s">
        <v>295</v>
      </c>
      <c r="G454" s="1">
        <v>50</v>
      </c>
      <c r="H454" s="1">
        <v>4</v>
      </c>
      <c r="I454" s="1" t="s">
        <v>298</v>
      </c>
      <c r="J454" s="1">
        <v>8</v>
      </c>
      <c r="K454" s="1" t="s">
        <v>300</v>
      </c>
      <c r="L454" s="1" t="s">
        <v>304</v>
      </c>
      <c r="M454" s="1">
        <v>4</v>
      </c>
      <c r="N454" s="1">
        <v>10</v>
      </c>
      <c r="O454" s="1">
        <v>86097.600000000006</v>
      </c>
      <c r="P454" s="1">
        <f>Table1[[#This Row],[Rooms Booked]]/Table1[[#This Row],[Rooms Available]]*100</f>
        <v>8</v>
      </c>
      <c r="Q454" s="1">
        <f>Table1[[#This Row],[Revenue]]/Table1[[#This Row],[Rooms Booked]]</f>
        <v>23916</v>
      </c>
    </row>
    <row r="455" spans="1:17" x14ac:dyDescent="0.25">
      <c r="A455" s="1" t="s">
        <v>16</v>
      </c>
      <c r="B455" s="1" t="s">
        <v>23</v>
      </c>
      <c r="C455" s="1" t="s">
        <v>269</v>
      </c>
      <c r="D455" s="1">
        <v>32922</v>
      </c>
      <c r="E455" s="1" t="s">
        <v>292</v>
      </c>
      <c r="F455" s="1" t="s">
        <v>297</v>
      </c>
      <c r="G455" s="1">
        <v>50</v>
      </c>
      <c r="H455" s="1">
        <v>3</v>
      </c>
      <c r="I455" s="1" t="s">
        <v>298</v>
      </c>
      <c r="J455" s="1">
        <v>25</v>
      </c>
      <c r="K455" s="1" t="s">
        <v>300</v>
      </c>
      <c r="L455" s="1" t="s">
        <v>304</v>
      </c>
      <c r="M455" s="1">
        <v>2</v>
      </c>
      <c r="N455" s="1">
        <v>15</v>
      </c>
      <c r="O455" s="1">
        <v>27983.7</v>
      </c>
      <c r="P455" s="1">
        <f>Table1[[#This Row],[Rooms Booked]]/Table1[[#This Row],[Rooms Available]]*100</f>
        <v>6</v>
      </c>
      <c r="Q455" s="1">
        <f>Table1[[#This Row],[Revenue]]/Table1[[#This Row],[Rooms Booked]]</f>
        <v>10974</v>
      </c>
    </row>
    <row r="456" spans="1:17" x14ac:dyDescent="0.25">
      <c r="A456" s="1" t="s">
        <v>20</v>
      </c>
      <c r="B456" s="1" t="s">
        <v>23</v>
      </c>
      <c r="C456" s="1" t="s">
        <v>139</v>
      </c>
      <c r="D456" s="1">
        <v>51100</v>
      </c>
      <c r="E456" s="1" t="s">
        <v>292</v>
      </c>
      <c r="F456" s="1" t="s">
        <v>295</v>
      </c>
      <c r="G456" s="1">
        <v>50</v>
      </c>
      <c r="H456" s="1">
        <v>1</v>
      </c>
      <c r="I456" s="1" t="s">
        <v>298</v>
      </c>
      <c r="J456" s="1">
        <v>18</v>
      </c>
      <c r="K456" s="1" t="s">
        <v>301</v>
      </c>
      <c r="L456" s="1" t="s">
        <v>302</v>
      </c>
      <c r="M456" s="1">
        <v>2</v>
      </c>
      <c r="N456" s="1">
        <v>5</v>
      </c>
      <c r="O456" s="1">
        <v>48545</v>
      </c>
      <c r="P456" s="1">
        <f>Table1[[#This Row],[Rooms Booked]]/Table1[[#This Row],[Rooms Available]]*100</f>
        <v>2</v>
      </c>
      <c r="Q456" s="1">
        <f>Table1[[#This Row],[Revenue]]/Table1[[#This Row],[Rooms Booked]]</f>
        <v>51100</v>
      </c>
    </row>
    <row r="457" spans="1:17" x14ac:dyDescent="0.25">
      <c r="A457" s="1" t="s">
        <v>18</v>
      </c>
      <c r="B457" s="1" t="s">
        <v>23</v>
      </c>
      <c r="C457" s="1" t="s">
        <v>128</v>
      </c>
      <c r="D457" s="1">
        <v>16912</v>
      </c>
      <c r="E457" s="1" t="s">
        <v>294</v>
      </c>
      <c r="F457" s="1" t="s">
        <v>295</v>
      </c>
      <c r="G457" s="1">
        <v>50</v>
      </c>
      <c r="H457" s="1">
        <v>4</v>
      </c>
      <c r="I457" s="1" t="s">
        <v>298</v>
      </c>
      <c r="J457" s="1">
        <v>3</v>
      </c>
      <c r="K457" s="1" t="s">
        <v>300</v>
      </c>
      <c r="L457" s="1" t="s">
        <v>305</v>
      </c>
      <c r="M457" s="1">
        <v>3</v>
      </c>
      <c r="N457" s="1">
        <v>10</v>
      </c>
      <c r="O457" s="1">
        <v>15220.8</v>
      </c>
      <c r="P457" s="1">
        <f>Table1[[#This Row],[Rooms Booked]]/Table1[[#This Row],[Rooms Available]]*100</f>
        <v>8</v>
      </c>
      <c r="Q457" s="1">
        <f>Table1[[#This Row],[Revenue]]/Table1[[#This Row],[Rooms Booked]]</f>
        <v>4228</v>
      </c>
    </row>
    <row r="458" spans="1:17" x14ac:dyDescent="0.25">
      <c r="A458" s="1" t="s">
        <v>20</v>
      </c>
      <c r="B458" s="1" t="s">
        <v>22</v>
      </c>
      <c r="C458" s="1" t="s">
        <v>276</v>
      </c>
      <c r="D458" s="1">
        <v>67848</v>
      </c>
      <c r="E458" s="1" t="s">
        <v>293</v>
      </c>
      <c r="F458" s="1" t="s">
        <v>295</v>
      </c>
      <c r="G458" s="1">
        <v>50</v>
      </c>
      <c r="H458" s="1">
        <v>2</v>
      </c>
      <c r="I458" s="1" t="s">
        <v>298</v>
      </c>
      <c r="J458" s="1">
        <v>8</v>
      </c>
      <c r="K458" s="1" t="s">
        <v>300</v>
      </c>
      <c r="L458" s="1" t="s">
        <v>304</v>
      </c>
      <c r="M458" s="1">
        <v>3</v>
      </c>
      <c r="N458" s="1">
        <v>0</v>
      </c>
      <c r="O458" s="1">
        <v>67848</v>
      </c>
      <c r="P458" s="1">
        <f>Table1[[#This Row],[Rooms Booked]]/Table1[[#This Row],[Rooms Available]]*100</f>
        <v>4</v>
      </c>
      <c r="Q458" s="1">
        <f>Table1[[#This Row],[Revenue]]/Table1[[#This Row],[Rooms Booked]]</f>
        <v>33924</v>
      </c>
    </row>
    <row r="459" spans="1:17" x14ac:dyDescent="0.25">
      <c r="A459" s="1" t="s">
        <v>15</v>
      </c>
      <c r="B459" s="1" t="s">
        <v>22</v>
      </c>
      <c r="C459" s="1" t="s">
        <v>122</v>
      </c>
      <c r="D459" s="1">
        <v>47080</v>
      </c>
      <c r="E459" s="1" t="s">
        <v>293</v>
      </c>
      <c r="F459" s="1" t="s">
        <v>297</v>
      </c>
      <c r="G459" s="1">
        <v>50</v>
      </c>
      <c r="H459" s="1">
        <v>2</v>
      </c>
      <c r="I459" s="1" t="s">
        <v>298</v>
      </c>
      <c r="J459" s="1">
        <v>29</v>
      </c>
      <c r="K459" s="1" t="s">
        <v>301</v>
      </c>
      <c r="L459" s="1" t="s">
        <v>303</v>
      </c>
      <c r="M459" s="1">
        <v>5</v>
      </c>
      <c r="N459" s="1">
        <v>0</v>
      </c>
      <c r="O459" s="1">
        <v>47080</v>
      </c>
      <c r="P459" s="1">
        <f>Table1[[#This Row],[Rooms Booked]]/Table1[[#This Row],[Rooms Available]]*100</f>
        <v>4</v>
      </c>
      <c r="Q459" s="1">
        <f>Table1[[#This Row],[Revenue]]/Table1[[#This Row],[Rooms Booked]]</f>
        <v>23540</v>
      </c>
    </row>
    <row r="460" spans="1:17" x14ac:dyDescent="0.25">
      <c r="A460" s="1" t="s">
        <v>20</v>
      </c>
      <c r="B460" s="1" t="s">
        <v>23</v>
      </c>
      <c r="C460" s="1" t="s">
        <v>277</v>
      </c>
      <c r="D460" s="1">
        <v>151224</v>
      </c>
      <c r="E460" s="1" t="s">
        <v>292</v>
      </c>
      <c r="F460" s="1" t="s">
        <v>295</v>
      </c>
      <c r="G460" s="1">
        <v>50</v>
      </c>
      <c r="H460" s="1">
        <v>4</v>
      </c>
      <c r="I460" s="1" t="s">
        <v>298</v>
      </c>
      <c r="J460" s="1">
        <v>5</v>
      </c>
      <c r="K460" s="1" t="s">
        <v>301</v>
      </c>
      <c r="L460" s="1" t="s">
        <v>305</v>
      </c>
      <c r="M460" s="1">
        <v>2</v>
      </c>
      <c r="N460" s="1">
        <v>0</v>
      </c>
      <c r="O460" s="1">
        <v>151224</v>
      </c>
      <c r="P460" s="1">
        <f>Table1[[#This Row],[Rooms Booked]]/Table1[[#This Row],[Rooms Available]]*100</f>
        <v>8</v>
      </c>
      <c r="Q460" s="1">
        <f>Table1[[#This Row],[Revenue]]/Table1[[#This Row],[Rooms Booked]]</f>
        <v>37806</v>
      </c>
    </row>
    <row r="461" spans="1:17" x14ac:dyDescent="0.25">
      <c r="A461" s="1" t="s">
        <v>19</v>
      </c>
      <c r="B461" s="1" t="s">
        <v>23</v>
      </c>
      <c r="C461" s="1" t="s">
        <v>96</v>
      </c>
      <c r="D461" s="1">
        <v>0</v>
      </c>
      <c r="E461" s="1" t="s">
        <v>291</v>
      </c>
      <c r="F461" s="1" t="s">
        <v>295</v>
      </c>
      <c r="G461" s="1">
        <v>50</v>
      </c>
      <c r="H461" s="1">
        <v>3</v>
      </c>
      <c r="I461" s="1" t="s">
        <v>299</v>
      </c>
      <c r="J461" s="1">
        <v>7</v>
      </c>
      <c r="K461" s="1" t="s">
        <v>301</v>
      </c>
      <c r="L461" s="1" t="s">
        <v>306</v>
      </c>
      <c r="M461" s="1">
        <v>2</v>
      </c>
      <c r="N461" s="1">
        <v>5</v>
      </c>
      <c r="O461" s="1">
        <v>0</v>
      </c>
      <c r="P461" s="1">
        <f>Table1[[#This Row],[Rooms Booked]]/Table1[[#This Row],[Rooms Available]]*100</f>
        <v>6</v>
      </c>
      <c r="Q461" s="1">
        <f>Table1[[#This Row],[Revenue]]/Table1[[#This Row],[Rooms Booked]]</f>
        <v>0</v>
      </c>
    </row>
    <row r="462" spans="1:17" x14ac:dyDescent="0.25">
      <c r="A462" s="1" t="s">
        <v>19</v>
      </c>
      <c r="B462" s="1" t="s">
        <v>22</v>
      </c>
      <c r="C462" s="1" t="s">
        <v>117</v>
      </c>
      <c r="D462" s="1">
        <v>100908</v>
      </c>
      <c r="E462" s="1" t="s">
        <v>291</v>
      </c>
      <c r="F462" s="1" t="s">
        <v>296</v>
      </c>
      <c r="G462" s="1">
        <v>50</v>
      </c>
      <c r="H462" s="1">
        <v>3</v>
      </c>
      <c r="I462" s="1" t="s">
        <v>298</v>
      </c>
      <c r="J462" s="1">
        <v>17</v>
      </c>
      <c r="K462" s="1" t="s">
        <v>300</v>
      </c>
      <c r="L462" s="1" t="s">
        <v>304</v>
      </c>
      <c r="M462" s="1">
        <v>5</v>
      </c>
      <c r="N462" s="1">
        <v>5</v>
      </c>
      <c r="O462" s="1">
        <v>95862.6</v>
      </c>
      <c r="P462" s="1">
        <f>Table1[[#This Row],[Rooms Booked]]/Table1[[#This Row],[Rooms Available]]*100</f>
        <v>6</v>
      </c>
      <c r="Q462" s="1">
        <f>Table1[[#This Row],[Revenue]]/Table1[[#This Row],[Rooms Booked]]</f>
        <v>33636</v>
      </c>
    </row>
    <row r="463" spans="1:17" x14ac:dyDescent="0.25">
      <c r="A463" s="1" t="s">
        <v>15</v>
      </c>
      <c r="B463" s="1" t="s">
        <v>22</v>
      </c>
      <c r="C463" s="1" t="s">
        <v>265</v>
      </c>
      <c r="D463" s="1">
        <v>27942</v>
      </c>
      <c r="E463" s="1" t="s">
        <v>291</v>
      </c>
      <c r="F463" s="1" t="s">
        <v>295</v>
      </c>
      <c r="G463" s="1">
        <v>50</v>
      </c>
      <c r="H463" s="1">
        <v>1</v>
      </c>
      <c r="I463" s="1" t="s">
        <v>298</v>
      </c>
      <c r="J463" s="1">
        <v>28</v>
      </c>
      <c r="K463" s="1" t="s">
        <v>300</v>
      </c>
      <c r="L463" s="1" t="s">
        <v>306</v>
      </c>
      <c r="M463" s="1">
        <v>1</v>
      </c>
      <c r="N463" s="1">
        <v>15</v>
      </c>
      <c r="O463" s="1">
        <v>23750.7</v>
      </c>
      <c r="P463" s="1">
        <f>Table1[[#This Row],[Rooms Booked]]/Table1[[#This Row],[Rooms Available]]*100</f>
        <v>2</v>
      </c>
      <c r="Q463" s="1">
        <f>Table1[[#This Row],[Revenue]]/Table1[[#This Row],[Rooms Booked]]</f>
        <v>27942</v>
      </c>
    </row>
    <row r="464" spans="1:17" x14ac:dyDescent="0.25">
      <c r="A464" s="1" t="s">
        <v>19</v>
      </c>
      <c r="B464" s="1" t="s">
        <v>21</v>
      </c>
      <c r="C464" s="1" t="s">
        <v>183</v>
      </c>
      <c r="D464" s="1">
        <v>36795</v>
      </c>
      <c r="E464" s="1" t="s">
        <v>291</v>
      </c>
      <c r="F464" s="1" t="s">
        <v>296</v>
      </c>
      <c r="G464" s="1">
        <v>50</v>
      </c>
      <c r="H464" s="1">
        <v>5</v>
      </c>
      <c r="I464" s="1" t="s">
        <v>298</v>
      </c>
      <c r="J464" s="1">
        <v>16</v>
      </c>
      <c r="K464" s="1" t="s">
        <v>300</v>
      </c>
      <c r="L464" s="1" t="s">
        <v>305</v>
      </c>
      <c r="M464" s="1">
        <v>1</v>
      </c>
      <c r="N464" s="1">
        <v>10</v>
      </c>
      <c r="O464" s="1">
        <v>33115.5</v>
      </c>
      <c r="P464" s="1">
        <f>Table1[[#This Row],[Rooms Booked]]/Table1[[#This Row],[Rooms Available]]*100</f>
        <v>10</v>
      </c>
      <c r="Q464" s="1">
        <f>Table1[[#This Row],[Revenue]]/Table1[[#This Row],[Rooms Booked]]</f>
        <v>7359</v>
      </c>
    </row>
    <row r="465" spans="1:17" x14ac:dyDescent="0.25">
      <c r="A465" s="1" t="s">
        <v>20</v>
      </c>
      <c r="B465" s="1" t="s">
        <v>22</v>
      </c>
      <c r="C465" s="1" t="s">
        <v>278</v>
      </c>
      <c r="D465" s="1">
        <v>36705</v>
      </c>
      <c r="E465" s="1" t="s">
        <v>294</v>
      </c>
      <c r="F465" s="1" t="s">
        <v>295</v>
      </c>
      <c r="G465" s="1">
        <v>50</v>
      </c>
      <c r="H465" s="1">
        <v>3</v>
      </c>
      <c r="I465" s="1" t="s">
        <v>298</v>
      </c>
      <c r="J465" s="1">
        <v>5</v>
      </c>
      <c r="K465" s="1" t="s">
        <v>300</v>
      </c>
      <c r="L465" s="1" t="s">
        <v>305</v>
      </c>
      <c r="M465" s="1">
        <v>3</v>
      </c>
      <c r="N465" s="1">
        <v>15</v>
      </c>
      <c r="O465" s="1">
        <v>31199.25</v>
      </c>
      <c r="P465" s="1">
        <f>Table1[[#This Row],[Rooms Booked]]/Table1[[#This Row],[Rooms Available]]*100</f>
        <v>6</v>
      </c>
      <c r="Q465" s="1">
        <f>Table1[[#This Row],[Revenue]]/Table1[[#This Row],[Rooms Booked]]</f>
        <v>12235</v>
      </c>
    </row>
    <row r="466" spans="1:17" x14ac:dyDescent="0.25">
      <c r="A466" s="1" t="s">
        <v>15</v>
      </c>
      <c r="B466" s="1" t="s">
        <v>22</v>
      </c>
      <c r="C466" s="1" t="s">
        <v>90</v>
      </c>
      <c r="D466" s="1">
        <v>108816</v>
      </c>
      <c r="E466" s="1" t="s">
        <v>291</v>
      </c>
      <c r="F466" s="1" t="s">
        <v>296</v>
      </c>
      <c r="G466" s="1">
        <v>50</v>
      </c>
      <c r="H466" s="1">
        <v>4</v>
      </c>
      <c r="I466" s="1" t="s">
        <v>298</v>
      </c>
      <c r="J466" s="1">
        <v>19</v>
      </c>
      <c r="K466" s="1" t="s">
        <v>301</v>
      </c>
      <c r="L466" s="1" t="s">
        <v>306</v>
      </c>
      <c r="M466" s="1">
        <v>2</v>
      </c>
      <c r="N466" s="1">
        <v>0</v>
      </c>
      <c r="O466" s="1">
        <v>108816</v>
      </c>
      <c r="P466" s="1">
        <f>Table1[[#This Row],[Rooms Booked]]/Table1[[#This Row],[Rooms Available]]*100</f>
        <v>8</v>
      </c>
      <c r="Q466" s="1">
        <f>Table1[[#This Row],[Revenue]]/Table1[[#This Row],[Rooms Booked]]</f>
        <v>27204</v>
      </c>
    </row>
    <row r="467" spans="1:17" x14ac:dyDescent="0.25">
      <c r="A467" s="1" t="s">
        <v>17</v>
      </c>
      <c r="B467" s="1" t="s">
        <v>22</v>
      </c>
      <c r="C467" s="1" t="s">
        <v>279</v>
      </c>
      <c r="D467" s="1">
        <v>0</v>
      </c>
      <c r="E467" s="1" t="s">
        <v>292</v>
      </c>
      <c r="F467" s="1" t="s">
        <v>295</v>
      </c>
      <c r="G467" s="1">
        <v>50</v>
      </c>
      <c r="H467" s="1">
        <v>4</v>
      </c>
      <c r="I467" s="1" t="s">
        <v>299</v>
      </c>
      <c r="J467" s="1">
        <v>14</v>
      </c>
      <c r="K467" s="1" t="s">
        <v>301</v>
      </c>
      <c r="L467" s="1" t="s">
        <v>305</v>
      </c>
      <c r="M467" s="1">
        <v>2</v>
      </c>
      <c r="N467" s="1">
        <v>10</v>
      </c>
      <c r="O467" s="1">
        <v>0</v>
      </c>
      <c r="P467" s="1">
        <f>Table1[[#This Row],[Rooms Booked]]/Table1[[#This Row],[Rooms Available]]*100</f>
        <v>8</v>
      </c>
      <c r="Q467" s="1">
        <f>Table1[[#This Row],[Revenue]]/Table1[[#This Row],[Rooms Booked]]</f>
        <v>0</v>
      </c>
    </row>
    <row r="468" spans="1:17" x14ac:dyDescent="0.25">
      <c r="A468" s="1" t="s">
        <v>15</v>
      </c>
      <c r="B468" s="1" t="s">
        <v>23</v>
      </c>
      <c r="C468" s="1" t="s">
        <v>280</v>
      </c>
      <c r="D468" s="1">
        <v>108392</v>
      </c>
      <c r="E468" s="1" t="s">
        <v>291</v>
      </c>
      <c r="F468" s="1" t="s">
        <v>296</v>
      </c>
      <c r="G468" s="1">
        <v>50</v>
      </c>
      <c r="H468" s="1">
        <v>4</v>
      </c>
      <c r="I468" s="1" t="s">
        <v>298</v>
      </c>
      <c r="J468" s="1">
        <v>7</v>
      </c>
      <c r="K468" s="1" t="s">
        <v>300</v>
      </c>
      <c r="L468" s="1" t="s">
        <v>305</v>
      </c>
      <c r="M468" s="1">
        <v>3</v>
      </c>
      <c r="N468" s="1">
        <v>0</v>
      </c>
      <c r="O468" s="1">
        <v>108392</v>
      </c>
      <c r="P468" s="1">
        <f>Table1[[#This Row],[Rooms Booked]]/Table1[[#This Row],[Rooms Available]]*100</f>
        <v>8</v>
      </c>
      <c r="Q468" s="1">
        <f>Table1[[#This Row],[Revenue]]/Table1[[#This Row],[Rooms Booked]]</f>
        <v>27098</v>
      </c>
    </row>
    <row r="469" spans="1:17" x14ac:dyDescent="0.25">
      <c r="A469" s="1" t="s">
        <v>17</v>
      </c>
      <c r="B469" s="1" t="s">
        <v>22</v>
      </c>
      <c r="C469" s="1" t="s">
        <v>169</v>
      </c>
      <c r="D469" s="1">
        <v>29964</v>
      </c>
      <c r="E469" s="1" t="s">
        <v>292</v>
      </c>
      <c r="F469" s="1" t="s">
        <v>295</v>
      </c>
      <c r="G469" s="1">
        <v>50</v>
      </c>
      <c r="H469" s="1">
        <v>1</v>
      </c>
      <c r="I469" s="1" t="s">
        <v>298</v>
      </c>
      <c r="J469" s="1">
        <v>11</v>
      </c>
      <c r="K469" s="1" t="s">
        <v>300</v>
      </c>
      <c r="L469" s="1" t="s">
        <v>303</v>
      </c>
      <c r="M469" s="1">
        <v>4</v>
      </c>
      <c r="N469" s="1">
        <v>10</v>
      </c>
      <c r="O469" s="1">
        <v>26967.599999999999</v>
      </c>
      <c r="P469" s="1">
        <f>Table1[[#This Row],[Rooms Booked]]/Table1[[#This Row],[Rooms Available]]*100</f>
        <v>2</v>
      </c>
      <c r="Q469" s="1">
        <f>Table1[[#This Row],[Revenue]]/Table1[[#This Row],[Rooms Booked]]</f>
        <v>29964</v>
      </c>
    </row>
    <row r="470" spans="1:17" x14ac:dyDescent="0.25">
      <c r="A470" s="1" t="s">
        <v>18</v>
      </c>
      <c r="B470" s="1" t="s">
        <v>23</v>
      </c>
      <c r="C470" s="1" t="s">
        <v>112</v>
      </c>
      <c r="D470" s="1">
        <v>40008</v>
      </c>
      <c r="E470" s="1" t="s">
        <v>292</v>
      </c>
      <c r="F470" s="1" t="s">
        <v>295</v>
      </c>
      <c r="G470" s="1">
        <v>50</v>
      </c>
      <c r="H470" s="1">
        <v>4</v>
      </c>
      <c r="I470" s="1" t="s">
        <v>298</v>
      </c>
      <c r="J470" s="1">
        <v>30</v>
      </c>
      <c r="K470" s="1" t="s">
        <v>301</v>
      </c>
      <c r="L470" s="1" t="s">
        <v>303</v>
      </c>
      <c r="M470" s="1">
        <v>3</v>
      </c>
      <c r="N470" s="1">
        <v>5</v>
      </c>
      <c r="O470" s="1">
        <v>38007.599999999999</v>
      </c>
      <c r="P470" s="1">
        <f>Table1[[#This Row],[Rooms Booked]]/Table1[[#This Row],[Rooms Available]]*100</f>
        <v>8</v>
      </c>
      <c r="Q470" s="1">
        <f>Table1[[#This Row],[Revenue]]/Table1[[#This Row],[Rooms Booked]]</f>
        <v>10002</v>
      </c>
    </row>
    <row r="471" spans="1:17" x14ac:dyDescent="0.25">
      <c r="A471" s="1" t="s">
        <v>17</v>
      </c>
      <c r="B471" s="1" t="s">
        <v>21</v>
      </c>
      <c r="C471" s="1" t="s">
        <v>33</v>
      </c>
      <c r="D471" s="1">
        <v>234064</v>
      </c>
      <c r="E471" s="1" t="s">
        <v>292</v>
      </c>
      <c r="F471" s="1" t="s">
        <v>296</v>
      </c>
      <c r="G471" s="1">
        <v>50</v>
      </c>
      <c r="H471" s="1">
        <v>4</v>
      </c>
      <c r="I471" s="1" t="s">
        <v>298</v>
      </c>
      <c r="J471" s="1">
        <v>13</v>
      </c>
      <c r="K471" s="1" t="s">
        <v>300</v>
      </c>
      <c r="L471" s="1" t="s">
        <v>302</v>
      </c>
      <c r="M471" s="1">
        <v>3</v>
      </c>
      <c r="N471" s="1">
        <v>15</v>
      </c>
      <c r="O471" s="1">
        <v>198954.4</v>
      </c>
      <c r="P471" s="1">
        <f>Table1[[#This Row],[Rooms Booked]]/Table1[[#This Row],[Rooms Available]]*100</f>
        <v>8</v>
      </c>
      <c r="Q471" s="1">
        <f>Table1[[#This Row],[Revenue]]/Table1[[#This Row],[Rooms Booked]]</f>
        <v>58516</v>
      </c>
    </row>
    <row r="472" spans="1:17" x14ac:dyDescent="0.25">
      <c r="A472" s="1" t="s">
        <v>19</v>
      </c>
      <c r="B472" s="1" t="s">
        <v>22</v>
      </c>
      <c r="C472" s="1" t="s">
        <v>37</v>
      </c>
      <c r="D472" s="1">
        <v>139950</v>
      </c>
      <c r="E472" s="1" t="s">
        <v>291</v>
      </c>
      <c r="F472" s="1" t="s">
        <v>295</v>
      </c>
      <c r="G472" s="1">
        <v>50</v>
      </c>
      <c r="H472" s="1">
        <v>5</v>
      </c>
      <c r="I472" s="1" t="s">
        <v>298</v>
      </c>
      <c r="J472" s="1">
        <v>14</v>
      </c>
      <c r="K472" s="1" t="s">
        <v>301</v>
      </c>
      <c r="L472" s="1" t="s">
        <v>304</v>
      </c>
      <c r="M472" s="1">
        <v>5</v>
      </c>
      <c r="N472" s="1">
        <v>10</v>
      </c>
      <c r="O472" s="1">
        <v>125955</v>
      </c>
      <c r="P472" s="1">
        <f>Table1[[#This Row],[Rooms Booked]]/Table1[[#This Row],[Rooms Available]]*100</f>
        <v>10</v>
      </c>
      <c r="Q472" s="1">
        <f>Table1[[#This Row],[Revenue]]/Table1[[#This Row],[Rooms Booked]]</f>
        <v>27990</v>
      </c>
    </row>
    <row r="473" spans="1:17" x14ac:dyDescent="0.25">
      <c r="A473" s="1" t="s">
        <v>16</v>
      </c>
      <c r="B473" s="1" t="s">
        <v>22</v>
      </c>
      <c r="C473" s="1" t="s">
        <v>135</v>
      </c>
      <c r="D473" s="1">
        <v>34740</v>
      </c>
      <c r="E473" s="1" t="s">
        <v>291</v>
      </c>
      <c r="F473" s="1" t="s">
        <v>297</v>
      </c>
      <c r="G473" s="1">
        <v>50</v>
      </c>
      <c r="H473" s="1">
        <v>2</v>
      </c>
      <c r="I473" s="1" t="s">
        <v>298</v>
      </c>
      <c r="J473" s="1">
        <v>5</v>
      </c>
      <c r="K473" s="1" t="s">
        <v>301</v>
      </c>
      <c r="L473" s="1" t="s">
        <v>306</v>
      </c>
      <c r="M473" s="1">
        <v>3</v>
      </c>
      <c r="N473" s="1">
        <v>15</v>
      </c>
      <c r="O473" s="1">
        <v>29529</v>
      </c>
      <c r="P473" s="1">
        <f>Table1[[#This Row],[Rooms Booked]]/Table1[[#This Row],[Rooms Available]]*100</f>
        <v>4</v>
      </c>
      <c r="Q473" s="1">
        <f>Table1[[#This Row],[Revenue]]/Table1[[#This Row],[Rooms Booked]]</f>
        <v>17370</v>
      </c>
    </row>
    <row r="474" spans="1:17" x14ac:dyDescent="0.25">
      <c r="A474" s="1" t="s">
        <v>17</v>
      </c>
      <c r="B474" s="1" t="s">
        <v>22</v>
      </c>
      <c r="C474" s="1" t="s">
        <v>32</v>
      </c>
      <c r="D474" s="1">
        <v>0</v>
      </c>
      <c r="E474" s="1" t="s">
        <v>292</v>
      </c>
      <c r="F474" s="1" t="s">
        <v>297</v>
      </c>
      <c r="G474" s="1">
        <v>50</v>
      </c>
      <c r="H474" s="1">
        <v>5</v>
      </c>
      <c r="I474" s="1" t="s">
        <v>299</v>
      </c>
      <c r="J474" s="1">
        <v>19</v>
      </c>
      <c r="K474" s="1" t="s">
        <v>301</v>
      </c>
      <c r="L474" s="1" t="s">
        <v>302</v>
      </c>
      <c r="M474" s="1">
        <v>4</v>
      </c>
      <c r="N474" s="1">
        <v>5</v>
      </c>
      <c r="O474" s="1">
        <v>0</v>
      </c>
      <c r="P474" s="1">
        <f>Table1[[#This Row],[Rooms Booked]]/Table1[[#This Row],[Rooms Available]]*100</f>
        <v>10</v>
      </c>
      <c r="Q474" s="1">
        <f>Table1[[#This Row],[Revenue]]/Table1[[#This Row],[Rooms Booked]]</f>
        <v>0</v>
      </c>
    </row>
    <row r="475" spans="1:17" x14ac:dyDescent="0.25">
      <c r="A475" s="1" t="s">
        <v>16</v>
      </c>
      <c r="B475" s="1" t="s">
        <v>22</v>
      </c>
      <c r="C475" s="1" t="s">
        <v>281</v>
      </c>
      <c r="D475" s="1">
        <v>59622</v>
      </c>
      <c r="E475" s="1" t="s">
        <v>293</v>
      </c>
      <c r="F475" s="1" t="s">
        <v>295</v>
      </c>
      <c r="G475" s="1">
        <v>50</v>
      </c>
      <c r="H475" s="1">
        <v>3</v>
      </c>
      <c r="I475" s="1" t="s">
        <v>298</v>
      </c>
      <c r="J475" s="1">
        <v>6</v>
      </c>
      <c r="K475" s="1" t="s">
        <v>300</v>
      </c>
      <c r="L475" s="1" t="s">
        <v>303</v>
      </c>
      <c r="M475" s="1">
        <v>4</v>
      </c>
      <c r="N475" s="1">
        <v>10</v>
      </c>
      <c r="O475" s="1">
        <v>53659.8</v>
      </c>
      <c r="P475" s="1">
        <f>Table1[[#This Row],[Rooms Booked]]/Table1[[#This Row],[Rooms Available]]*100</f>
        <v>6</v>
      </c>
      <c r="Q475" s="1">
        <f>Table1[[#This Row],[Revenue]]/Table1[[#This Row],[Rooms Booked]]</f>
        <v>19874</v>
      </c>
    </row>
    <row r="476" spans="1:17" x14ac:dyDescent="0.25">
      <c r="A476" s="1" t="s">
        <v>19</v>
      </c>
      <c r="B476" s="1" t="s">
        <v>22</v>
      </c>
      <c r="C476" s="1" t="s">
        <v>42</v>
      </c>
      <c r="D476" s="1">
        <v>98416</v>
      </c>
      <c r="E476" s="1" t="s">
        <v>294</v>
      </c>
      <c r="F476" s="1" t="s">
        <v>295</v>
      </c>
      <c r="G476" s="1">
        <v>50</v>
      </c>
      <c r="H476" s="1">
        <v>4</v>
      </c>
      <c r="I476" s="1" t="s">
        <v>298</v>
      </c>
      <c r="J476" s="1">
        <v>11</v>
      </c>
      <c r="K476" s="1" t="s">
        <v>300</v>
      </c>
      <c r="L476" s="1" t="s">
        <v>303</v>
      </c>
      <c r="M476" s="1">
        <v>3</v>
      </c>
      <c r="N476" s="1">
        <v>0</v>
      </c>
      <c r="O476" s="1">
        <v>98416</v>
      </c>
      <c r="P476" s="1">
        <f>Table1[[#This Row],[Rooms Booked]]/Table1[[#This Row],[Rooms Available]]*100</f>
        <v>8</v>
      </c>
      <c r="Q476" s="1">
        <f>Table1[[#This Row],[Revenue]]/Table1[[#This Row],[Rooms Booked]]</f>
        <v>24604</v>
      </c>
    </row>
    <row r="477" spans="1:17" x14ac:dyDescent="0.25">
      <c r="A477" s="1" t="s">
        <v>17</v>
      </c>
      <c r="B477" s="1" t="s">
        <v>21</v>
      </c>
      <c r="C477" s="1" t="s">
        <v>272</v>
      </c>
      <c r="D477" s="1">
        <v>125900</v>
      </c>
      <c r="E477" s="1" t="s">
        <v>293</v>
      </c>
      <c r="F477" s="1" t="s">
        <v>296</v>
      </c>
      <c r="G477" s="1">
        <v>50</v>
      </c>
      <c r="H477" s="1">
        <v>5</v>
      </c>
      <c r="I477" s="1" t="s">
        <v>298</v>
      </c>
      <c r="J477" s="1">
        <v>6</v>
      </c>
      <c r="K477" s="1" t="s">
        <v>300</v>
      </c>
      <c r="L477" s="1" t="s">
        <v>302</v>
      </c>
      <c r="M477" s="1">
        <v>3</v>
      </c>
      <c r="N477" s="1">
        <v>15</v>
      </c>
      <c r="O477" s="1">
        <v>107015</v>
      </c>
      <c r="P477" s="1">
        <f>Table1[[#This Row],[Rooms Booked]]/Table1[[#This Row],[Rooms Available]]*100</f>
        <v>10</v>
      </c>
      <c r="Q477" s="1">
        <f>Table1[[#This Row],[Revenue]]/Table1[[#This Row],[Rooms Booked]]</f>
        <v>25180</v>
      </c>
    </row>
    <row r="478" spans="1:17" x14ac:dyDescent="0.25">
      <c r="A478" s="1" t="s">
        <v>15</v>
      </c>
      <c r="B478" s="1" t="s">
        <v>22</v>
      </c>
      <c r="C478" s="1" t="s">
        <v>282</v>
      </c>
      <c r="D478" s="1">
        <v>25685</v>
      </c>
      <c r="E478" s="1" t="s">
        <v>292</v>
      </c>
      <c r="F478" s="1" t="s">
        <v>296</v>
      </c>
      <c r="G478" s="1">
        <v>50</v>
      </c>
      <c r="H478" s="1">
        <v>5</v>
      </c>
      <c r="I478" s="1" t="s">
        <v>298</v>
      </c>
      <c r="J478" s="1">
        <v>30</v>
      </c>
      <c r="K478" s="1" t="s">
        <v>300</v>
      </c>
      <c r="L478" s="1" t="s">
        <v>306</v>
      </c>
      <c r="M478" s="1">
        <v>4</v>
      </c>
      <c r="N478" s="1">
        <v>10</v>
      </c>
      <c r="O478" s="1">
        <v>23116.5</v>
      </c>
      <c r="P478" s="1">
        <f>Table1[[#This Row],[Rooms Booked]]/Table1[[#This Row],[Rooms Available]]*100</f>
        <v>10</v>
      </c>
      <c r="Q478" s="1">
        <f>Table1[[#This Row],[Revenue]]/Table1[[#This Row],[Rooms Booked]]</f>
        <v>5137</v>
      </c>
    </row>
    <row r="479" spans="1:17" x14ac:dyDescent="0.25">
      <c r="A479" s="1" t="s">
        <v>16</v>
      </c>
      <c r="B479" s="1" t="s">
        <v>21</v>
      </c>
      <c r="C479" s="1" t="s">
        <v>254</v>
      </c>
      <c r="D479" s="1">
        <v>155160</v>
      </c>
      <c r="E479" s="1" t="s">
        <v>291</v>
      </c>
      <c r="F479" s="1" t="s">
        <v>296</v>
      </c>
      <c r="G479" s="1">
        <v>50</v>
      </c>
      <c r="H479" s="1">
        <v>5</v>
      </c>
      <c r="I479" s="1" t="s">
        <v>298</v>
      </c>
      <c r="J479" s="1">
        <v>11</v>
      </c>
      <c r="K479" s="1" t="s">
        <v>301</v>
      </c>
      <c r="L479" s="1" t="s">
        <v>303</v>
      </c>
      <c r="M479" s="1">
        <v>1</v>
      </c>
      <c r="N479" s="1">
        <v>5</v>
      </c>
      <c r="O479" s="1">
        <v>147402</v>
      </c>
      <c r="P479" s="1">
        <f>Table1[[#This Row],[Rooms Booked]]/Table1[[#This Row],[Rooms Available]]*100</f>
        <v>10</v>
      </c>
      <c r="Q479" s="1">
        <f>Table1[[#This Row],[Revenue]]/Table1[[#This Row],[Rooms Booked]]</f>
        <v>31032</v>
      </c>
    </row>
    <row r="480" spans="1:17" x14ac:dyDescent="0.25">
      <c r="A480" s="1" t="s">
        <v>16</v>
      </c>
      <c r="B480" s="1" t="s">
        <v>23</v>
      </c>
      <c r="C480" s="1" t="s">
        <v>234</v>
      </c>
      <c r="D480" s="1">
        <v>14004</v>
      </c>
      <c r="E480" s="1" t="s">
        <v>293</v>
      </c>
      <c r="F480" s="1" t="s">
        <v>295</v>
      </c>
      <c r="G480" s="1">
        <v>50</v>
      </c>
      <c r="H480" s="1">
        <v>2</v>
      </c>
      <c r="I480" s="1" t="s">
        <v>298</v>
      </c>
      <c r="J480" s="1">
        <v>3</v>
      </c>
      <c r="K480" s="1" t="s">
        <v>301</v>
      </c>
      <c r="L480" s="1" t="s">
        <v>302</v>
      </c>
      <c r="M480" s="1">
        <v>2</v>
      </c>
      <c r="N480" s="1">
        <v>15</v>
      </c>
      <c r="O480" s="1">
        <v>11903.4</v>
      </c>
      <c r="P480" s="1">
        <f>Table1[[#This Row],[Rooms Booked]]/Table1[[#This Row],[Rooms Available]]*100</f>
        <v>4</v>
      </c>
      <c r="Q480" s="1">
        <f>Table1[[#This Row],[Revenue]]/Table1[[#This Row],[Rooms Booked]]</f>
        <v>7002</v>
      </c>
    </row>
    <row r="481" spans="1:17" x14ac:dyDescent="0.25">
      <c r="A481" s="1" t="s">
        <v>19</v>
      </c>
      <c r="B481" s="1" t="s">
        <v>22</v>
      </c>
      <c r="C481" s="1" t="s">
        <v>283</v>
      </c>
      <c r="D481" s="1">
        <v>44934</v>
      </c>
      <c r="E481" s="1" t="s">
        <v>293</v>
      </c>
      <c r="F481" s="1" t="s">
        <v>295</v>
      </c>
      <c r="G481" s="1">
        <v>50</v>
      </c>
      <c r="H481" s="1">
        <v>3</v>
      </c>
      <c r="I481" s="1" t="s">
        <v>298</v>
      </c>
      <c r="J481" s="1">
        <v>15</v>
      </c>
      <c r="K481" s="1" t="s">
        <v>301</v>
      </c>
      <c r="L481" s="1" t="s">
        <v>302</v>
      </c>
      <c r="M481" s="1">
        <v>3</v>
      </c>
      <c r="N481" s="1">
        <v>15</v>
      </c>
      <c r="O481" s="1">
        <v>38193.9</v>
      </c>
      <c r="P481" s="1">
        <f>Table1[[#This Row],[Rooms Booked]]/Table1[[#This Row],[Rooms Available]]*100</f>
        <v>6</v>
      </c>
      <c r="Q481" s="1">
        <f>Table1[[#This Row],[Revenue]]/Table1[[#This Row],[Rooms Booked]]</f>
        <v>14978</v>
      </c>
    </row>
    <row r="482" spans="1:17" x14ac:dyDescent="0.25">
      <c r="A482" s="1" t="s">
        <v>20</v>
      </c>
      <c r="B482" s="1" t="s">
        <v>22</v>
      </c>
      <c r="C482" s="1" t="s">
        <v>106</v>
      </c>
      <c r="D482" s="1">
        <v>9714</v>
      </c>
      <c r="E482" s="1" t="s">
        <v>293</v>
      </c>
      <c r="F482" s="1" t="s">
        <v>296</v>
      </c>
      <c r="G482" s="1">
        <v>50</v>
      </c>
      <c r="H482" s="1">
        <v>2</v>
      </c>
      <c r="I482" s="1" t="s">
        <v>298</v>
      </c>
      <c r="J482" s="1">
        <v>2</v>
      </c>
      <c r="K482" s="1" t="s">
        <v>301</v>
      </c>
      <c r="L482" s="1" t="s">
        <v>304</v>
      </c>
      <c r="M482" s="1">
        <v>1</v>
      </c>
      <c r="N482" s="1">
        <v>10</v>
      </c>
      <c r="O482" s="1">
        <v>8742.6</v>
      </c>
      <c r="P482" s="1">
        <f>Table1[[#This Row],[Rooms Booked]]/Table1[[#This Row],[Rooms Available]]*100</f>
        <v>4</v>
      </c>
      <c r="Q482" s="1">
        <f>Table1[[#This Row],[Revenue]]/Table1[[#This Row],[Rooms Booked]]</f>
        <v>4857</v>
      </c>
    </row>
    <row r="483" spans="1:17" x14ac:dyDescent="0.25">
      <c r="A483" s="1" t="s">
        <v>20</v>
      </c>
      <c r="B483" s="1" t="s">
        <v>21</v>
      </c>
      <c r="C483" s="1" t="s">
        <v>168</v>
      </c>
      <c r="D483" s="1">
        <v>236336</v>
      </c>
      <c r="E483" s="1" t="s">
        <v>291</v>
      </c>
      <c r="F483" s="1" t="s">
        <v>295</v>
      </c>
      <c r="G483" s="1">
        <v>50</v>
      </c>
      <c r="H483" s="1">
        <v>4</v>
      </c>
      <c r="I483" s="1" t="s">
        <v>298</v>
      </c>
      <c r="J483" s="1">
        <v>10</v>
      </c>
      <c r="K483" s="1" t="s">
        <v>300</v>
      </c>
      <c r="L483" s="1" t="s">
        <v>306</v>
      </c>
      <c r="M483" s="1">
        <v>2</v>
      </c>
      <c r="N483" s="1">
        <v>10</v>
      </c>
      <c r="O483" s="1">
        <v>212702.4</v>
      </c>
      <c r="P483" s="1">
        <f>Table1[[#This Row],[Rooms Booked]]/Table1[[#This Row],[Rooms Available]]*100</f>
        <v>8</v>
      </c>
      <c r="Q483" s="1">
        <f>Table1[[#This Row],[Revenue]]/Table1[[#This Row],[Rooms Booked]]</f>
        <v>59084</v>
      </c>
    </row>
    <row r="484" spans="1:17" x14ac:dyDescent="0.25">
      <c r="A484" s="1" t="s">
        <v>20</v>
      </c>
      <c r="B484" s="1" t="s">
        <v>23</v>
      </c>
      <c r="C484" s="1" t="s">
        <v>284</v>
      </c>
      <c r="D484" s="1">
        <v>56166</v>
      </c>
      <c r="E484" s="1" t="s">
        <v>292</v>
      </c>
      <c r="F484" s="1" t="s">
        <v>295</v>
      </c>
      <c r="G484" s="1">
        <v>50</v>
      </c>
      <c r="H484" s="1">
        <v>2</v>
      </c>
      <c r="I484" s="1" t="s">
        <v>298</v>
      </c>
      <c r="J484" s="1">
        <v>8</v>
      </c>
      <c r="K484" s="1" t="s">
        <v>301</v>
      </c>
      <c r="L484" s="1" t="s">
        <v>305</v>
      </c>
      <c r="M484" s="1">
        <v>5</v>
      </c>
      <c r="N484" s="1">
        <v>15</v>
      </c>
      <c r="O484" s="1">
        <v>47741.1</v>
      </c>
      <c r="P484" s="1">
        <f>Table1[[#This Row],[Rooms Booked]]/Table1[[#This Row],[Rooms Available]]*100</f>
        <v>4</v>
      </c>
      <c r="Q484" s="1">
        <f>Table1[[#This Row],[Revenue]]/Table1[[#This Row],[Rooms Booked]]</f>
        <v>28083</v>
      </c>
    </row>
    <row r="485" spans="1:17" x14ac:dyDescent="0.25">
      <c r="A485" s="1" t="s">
        <v>18</v>
      </c>
      <c r="B485" s="1" t="s">
        <v>23</v>
      </c>
      <c r="C485" s="1" t="s">
        <v>83</v>
      </c>
      <c r="D485" s="1">
        <v>23684</v>
      </c>
      <c r="E485" s="1" t="s">
        <v>291</v>
      </c>
      <c r="F485" s="1" t="s">
        <v>297</v>
      </c>
      <c r="G485" s="1">
        <v>50</v>
      </c>
      <c r="H485" s="1">
        <v>4</v>
      </c>
      <c r="I485" s="1" t="s">
        <v>298</v>
      </c>
      <c r="J485" s="1">
        <v>4</v>
      </c>
      <c r="K485" s="1" t="s">
        <v>301</v>
      </c>
      <c r="L485" s="1" t="s">
        <v>306</v>
      </c>
      <c r="M485" s="1">
        <v>4</v>
      </c>
      <c r="N485" s="1">
        <v>0</v>
      </c>
      <c r="O485" s="1">
        <v>23684</v>
      </c>
      <c r="P485" s="1">
        <f>Table1[[#This Row],[Rooms Booked]]/Table1[[#This Row],[Rooms Available]]*100</f>
        <v>8</v>
      </c>
      <c r="Q485" s="1">
        <f>Table1[[#This Row],[Revenue]]/Table1[[#This Row],[Rooms Booked]]</f>
        <v>5921</v>
      </c>
    </row>
    <row r="486" spans="1:17" x14ac:dyDescent="0.25">
      <c r="A486" s="1" t="s">
        <v>19</v>
      </c>
      <c r="B486" s="1" t="s">
        <v>23</v>
      </c>
      <c r="C486" s="1" t="s">
        <v>210</v>
      </c>
      <c r="D486" s="1">
        <v>17252</v>
      </c>
      <c r="E486" s="1" t="s">
        <v>294</v>
      </c>
      <c r="F486" s="1" t="s">
        <v>295</v>
      </c>
      <c r="G486" s="1">
        <v>50</v>
      </c>
      <c r="H486" s="1">
        <v>2</v>
      </c>
      <c r="I486" s="1" t="s">
        <v>298</v>
      </c>
      <c r="J486" s="1">
        <v>6</v>
      </c>
      <c r="K486" s="1" t="s">
        <v>300</v>
      </c>
      <c r="L486" s="1" t="s">
        <v>303</v>
      </c>
      <c r="M486" s="1">
        <v>2</v>
      </c>
      <c r="N486" s="1">
        <v>15</v>
      </c>
      <c r="O486" s="1">
        <v>14664.2</v>
      </c>
      <c r="P486" s="1">
        <f>Table1[[#This Row],[Rooms Booked]]/Table1[[#This Row],[Rooms Available]]*100</f>
        <v>4</v>
      </c>
      <c r="Q486" s="1">
        <f>Table1[[#This Row],[Revenue]]/Table1[[#This Row],[Rooms Booked]]</f>
        <v>8626</v>
      </c>
    </row>
    <row r="487" spans="1:17" x14ac:dyDescent="0.25">
      <c r="A487" s="1" t="s">
        <v>16</v>
      </c>
      <c r="B487" s="1" t="s">
        <v>22</v>
      </c>
      <c r="C487" s="1" t="s">
        <v>144</v>
      </c>
      <c r="D487" s="1">
        <v>22347</v>
      </c>
      <c r="E487" s="1" t="s">
        <v>293</v>
      </c>
      <c r="F487" s="1" t="s">
        <v>295</v>
      </c>
      <c r="G487" s="1">
        <v>50</v>
      </c>
      <c r="H487" s="1">
        <v>3</v>
      </c>
      <c r="I487" s="1" t="s">
        <v>298</v>
      </c>
      <c r="J487" s="1">
        <v>27</v>
      </c>
      <c r="K487" s="1" t="s">
        <v>301</v>
      </c>
      <c r="L487" s="1" t="s">
        <v>304</v>
      </c>
      <c r="M487" s="1">
        <v>1</v>
      </c>
      <c r="N487" s="1">
        <v>5</v>
      </c>
      <c r="O487" s="1">
        <v>21229.65</v>
      </c>
      <c r="P487" s="1">
        <f>Table1[[#This Row],[Rooms Booked]]/Table1[[#This Row],[Rooms Available]]*100</f>
        <v>6</v>
      </c>
      <c r="Q487" s="1">
        <f>Table1[[#This Row],[Revenue]]/Table1[[#This Row],[Rooms Booked]]</f>
        <v>7449</v>
      </c>
    </row>
    <row r="488" spans="1:17" x14ac:dyDescent="0.25">
      <c r="A488" s="1" t="s">
        <v>16</v>
      </c>
      <c r="B488" s="1" t="s">
        <v>21</v>
      </c>
      <c r="C488" s="1" t="s">
        <v>285</v>
      </c>
      <c r="D488" s="1">
        <v>160900</v>
      </c>
      <c r="E488" s="1" t="s">
        <v>292</v>
      </c>
      <c r="F488" s="1" t="s">
        <v>295</v>
      </c>
      <c r="G488" s="1">
        <v>50</v>
      </c>
      <c r="H488" s="1">
        <v>5</v>
      </c>
      <c r="I488" s="1" t="s">
        <v>298</v>
      </c>
      <c r="J488" s="1">
        <v>18</v>
      </c>
      <c r="K488" s="1" t="s">
        <v>301</v>
      </c>
      <c r="L488" s="1" t="s">
        <v>302</v>
      </c>
      <c r="M488" s="1">
        <v>5</v>
      </c>
      <c r="N488" s="1">
        <v>0</v>
      </c>
      <c r="O488" s="1">
        <v>160900</v>
      </c>
      <c r="P488" s="1">
        <f>Table1[[#This Row],[Rooms Booked]]/Table1[[#This Row],[Rooms Available]]*100</f>
        <v>10</v>
      </c>
      <c r="Q488" s="1">
        <f>Table1[[#This Row],[Revenue]]/Table1[[#This Row],[Rooms Booked]]</f>
        <v>32180</v>
      </c>
    </row>
    <row r="489" spans="1:17" x14ac:dyDescent="0.25">
      <c r="A489" s="1" t="s">
        <v>15</v>
      </c>
      <c r="B489" s="1" t="s">
        <v>23</v>
      </c>
      <c r="C489" s="1" t="s">
        <v>286</v>
      </c>
      <c r="D489" s="1">
        <v>78840</v>
      </c>
      <c r="E489" s="1" t="s">
        <v>294</v>
      </c>
      <c r="F489" s="1" t="s">
        <v>297</v>
      </c>
      <c r="G489" s="1">
        <v>50</v>
      </c>
      <c r="H489" s="1">
        <v>2</v>
      </c>
      <c r="I489" s="1" t="s">
        <v>298</v>
      </c>
      <c r="J489" s="1">
        <v>19</v>
      </c>
      <c r="K489" s="1" t="s">
        <v>300</v>
      </c>
      <c r="L489" s="1" t="s">
        <v>302</v>
      </c>
      <c r="M489" s="1">
        <v>5</v>
      </c>
      <c r="N489" s="1">
        <v>0</v>
      </c>
      <c r="O489" s="1">
        <v>78840</v>
      </c>
      <c r="P489" s="1">
        <f>Table1[[#This Row],[Rooms Booked]]/Table1[[#This Row],[Rooms Available]]*100</f>
        <v>4</v>
      </c>
      <c r="Q489" s="1">
        <f>Table1[[#This Row],[Revenue]]/Table1[[#This Row],[Rooms Booked]]</f>
        <v>39420</v>
      </c>
    </row>
    <row r="490" spans="1:17" x14ac:dyDescent="0.25">
      <c r="A490" s="1" t="s">
        <v>18</v>
      </c>
      <c r="B490" s="1" t="s">
        <v>23</v>
      </c>
      <c r="C490" s="1" t="s">
        <v>287</v>
      </c>
      <c r="D490" s="1">
        <v>103280</v>
      </c>
      <c r="E490" s="1" t="s">
        <v>294</v>
      </c>
      <c r="F490" s="1" t="s">
        <v>297</v>
      </c>
      <c r="G490" s="1">
        <v>50</v>
      </c>
      <c r="H490" s="1">
        <v>5</v>
      </c>
      <c r="I490" s="1" t="s">
        <v>298</v>
      </c>
      <c r="J490" s="1">
        <v>18</v>
      </c>
      <c r="K490" s="1" t="s">
        <v>300</v>
      </c>
      <c r="L490" s="1" t="s">
        <v>304</v>
      </c>
      <c r="M490" s="1">
        <v>2</v>
      </c>
      <c r="N490" s="1">
        <v>15</v>
      </c>
      <c r="O490" s="1">
        <v>87788</v>
      </c>
      <c r="P490" s="1">
        <f>Table1[[#This Row],[Rooms Booked]]/Table1[[#This Row],[Rooms Available]]*100</f>
        <v>10</v>
      </c>
      <c r="Q490" s="1">
        <f>Table1[[#This Row],[Revenue]]/Table1[[#This Row],[Rooms Booked]]</f>
        <v>20656</v>
      </c>
    </row>
    <row r="491" spans="1:17" x14ac:dyDescent="0.25">
      <c r="A491" s="1" t="s">
        <v>20</v>
      </c>
      <c r="B491" s="1" t="s">
        <v>21</v>
      </c>
      <c r="C491" s="1" t="s">
        <v>80</v>
      </c>
      <c r="D491" s="1">
        <v>20510</v>
      </c>
      <c r="E491" s="1" t="s">
        <v>292</v>
      </c>
      <c r="F491" s="1" t="s">
        <v>297</v>
      </c>
      <c r="G491" s="1">
        <v>50</v>
      </c>
      <c r="H491" s="1">
        <v>1</v>
      </c>
      <c r="I491" s="1" t="s">
        <v>298</v>
      </c>
      <c r="J491" s="1">
        <v>30</v>
      </c>
      <c r="K491" s="1" t="s">
        <v>300</v>
      </c>
      <c r="L491" s="1" t="s">
        <v>305</v>
      </c>
      <c r="M491" s="1">
        <v>4</v>
      </c>
      <c r="N491" s="1">
        <v>10</v>
      </c>
      <c r="O491" s="1">
        <v>18459</v>
      </c>
      <c r="P491" s="1">
        <f>Table1[[#This Row],[Rooms Booked]]/Table1[[#This Row],[Rooms Available]]*100</f>
        <v>2</v>
      </c>
      <c r="Q491" s="1">
        <f>Table1[[#This Row],[Revenue]]/Table1[[#This Row],[Rooms Booked]]</f>
        <v>20510</v>
      </c>
    </row>
    <row r="492" spans="1:17" x14ac:dyDescent="0.25">
      <c r="A492" s="1" t="s">
        <v>16</v>
      </c>
      <c r="B492" s="1" t="s">
        <v>23</v>
      </c>
      <c r="C492" s="1" t="s">
        <v>125</v>
      </c>
      <c r="D492" s="1">
        <v>33864</v>
      </c>
      <c r="E492" s="1" t="s">
        <v>292</v>
      </c>
      <c r="F492" s="1" t="s">
        <v>297</v>
      </c>
      <c r="G492" s="1">
        <v>50</v>
      </c>
      <c r="H492" s="1">
        <v>2</v>
      </c>
      <c r="I492" s="1" t="s">
        <v>298</v>
      </c>
      <c r="J492" s="1">
        <v>27</v>
      </c>
      <c r="K492" s="1" t="s">
        <v>300</v>
      </c>
      <c r="L492" s="1" t="s">
        <v>306</v>
      </c>
      <c r="M492" s="1">
        <v>1</v>
      </c>
      <c r="N492" s="1">
        <v>0</v>
      </c>
      <c r="O492" s="1">
        <v>33864</v>
      </c>
      <c r="P492" s="1">
        <f>Table1[[#This Row],[Rooms Booked]]/Table1[[#This Row],[Rooms Available]]*100</f>
        <v>4</v>
      </c>
      <c r="Q492" s="1">
        <f>Table1[[#This Row],[Revenue]]/Table1[[#This Row],[Rooms Booked]]</f>
        <v>16932</v>
      </c>
    </row>
    <row r="493" spans="1:17" x14ac:dyDescent="0.25">
      <c r="A493" s="1" t="s">
        <v>19</v>
      </c>
      <c r="B493" s="1" t="s">
        <v>22</v>
      </c>
      <c r="C493" s="1" t="s">
        <v>232</v>
      </c>
      <c r="D493" s="1">
        <v>59752</v>
      </c>
      <c r="E493" s="1" t="s">
        <v>291</v>
      </c>
      <c r="F493" s="1" t="s">
        <v>296</v>
      </c>
      <c r="G493" s="1">
        <v>50</v>
      </c>
      <c r="H493" s="1">
        <v>4</v>
      </c>
      <c r="I493" s="1" t="s">
        <v>298</v>
      </c>
      <c r="J493" s="1">
        <v>21</v>
      </c>
      <c r="K493" s="1" t="s">
        <v>301</v>
      </c>
      <c r="L493" s="1" t="s">
        <v>304</v>
      </c>
      <c r="M493" s="1">
        <v>5</v>
      </c>
      <c r="N493" s="1">
        <v>15</v>
      </c>
      <c r="O493" s="1">
        <v>50789.2</v>
      </c>
      <c r="P493" s="1">
        <f>Table1[[#This Row],[Rooms Booked]]/Table1[[#This Row],[Rooms Available]]*100</f>
        <v>8</v>
      </c>
      <c r="Q493" s="1">
        <f>Table1[[#This Row],[Revenue]]/Table1[[#This Row],[Rooms Booked]]</f>
        <v>14938</v>
      </c>
    </row>
    <row r="494" spans="1:17" x14ac:dyDescent="0.25">
      <c r="A494" s="1" t="s">
        <v>15</v>
      </c>
      <c r="B494" s="1" t="s">
        <v>23</v>
      </c>
      <c r="C494" s="1" t="s">
        <v>205</v>
      </c>
      <c r="D494" s="1">
        <v>0</v>
      </c>
      <c r="E494" s="1" t="s">
        <v>291</v>
      </c>
      <c r="F494" s="1" t="s">
        <v>296</v>
      </c>
      <c r="G494" s="1">
        <v>50</v>
      </c>
      <c r="H494" s="1">
        <v>3</v>
      </c>
      <c r="I494" s="1" t="s">
        <v>299</v>
      </c>
      <c r="J494" s="1">
        <v>18</v>
      </c>
      <c r="K494" s="1" t="s">
        <v>301</v>
      </c>
      <c r="L494" s="1" t="s">
        <v>302</v>
      </c>
      <c r="M494" s="1">
        <v>4</v>
      </c>
      <c r="N494" s="1">
        <v>10</v>
      </c>
      <c r="O494" s="1">
        <v>0</v>
      </c>
      <c r="P494" s="1">
        <f>Table1[[#This Row],[Rooms Booked]]/Table1[[#This Row],[Rooms Available]]*100</f>
        <v>6</v>
      </c>
      <c r="Q494" s="1">
        <f>Table1[[#This Row],[Revenue]]/Table1[[#This Row],[Rooms Booked]]</f>
        <v>0</v>
      </c>
    </row>
    <row r="495" spans="1:17" x14ac:dyDescent="0.25">
      <c r="A495" s="1" t="s">
        <v>17</v>
      </c>
      <c r="B495" s="1" t="s">
        <v>22</v>
      </c>
      <c r="C495" s="1" t="s">
        <v>235</v>
      </c>
      <c r="D495" s="1">
        <v>31740</v>
      </c>
      <c r="E495" s="1" t="s">
        <v>292</v>
      </c>
      <c r="F495" s="1" t="s">
        <v>297</v>
      </c>
      <c r="G495" s="1">
        <v>50</v>
      </c>
      <c r="H495" s="1">
        <v>2</v>
      </c>
      <c r="I495" s="1" t="s">
        <v>298</v>
      </c>
      <c r="J495" s="1">
        <v>6</v>
      </c>
      <c r="K495" s="1" t="s">
        <v>301</v>
      </c>
      <c r="L495" s="1" t="s">
        <v>302</v>
      </c>
      <c r="M495" s="1">
        <v>3</v>
      </c>
      <c r="N495" s="1">
        <v>10</v>
      </c>
      <c r="O495" s="1">
        <v>28566</v>
      </c>
      <c r="P495" s="1">
        <f>Table1[[#This Row],[Rooms Booked]]/Table1[[#This Row],[Rooms Available]]*100</f>
        <v>4</v>
      </c>
      <c r="Q495" s="1">
        <f>Table1[[#This Row],[Revenue]]/Table1[[#This Row],[Rooms Booked]]</f>
        <v>15870</v>
      </c>
    </row>
    <row r="496" spans="1:17" x14ac:dyDescent="0.25">
      <c r="A496" s="1" t="s">
        <v>20</v>
      </c>
      <c r="B496" s="1" t="s">
        <v>21</v>
      </c>
      <c r="C496" s="1" t="s">
        <v>288</v>
      </c>
      <c r="D496" s="1">
        <v>112995</v>
      </c>
      <c r="E496" s="1" t="s">
        <v>293</v>
      </c>
      <c r="F496" s="1" t="s">
        <v>295</v>
      </c>
      <c r="G496" s="1">
        <v>50</v>
      </c>
      <c r="H496" s="1">
        <v>3</v>
      </c>
      <c r="I496" s="1" t="s">
        <v>298</v>
      </c>
      <c r="J496" s="1">
        <v>2</v>
      </c>
      <c r="K496" s="1" t="s">
        <v>300</v>
      </c>
      <c r="L496" s="1" t="s">
        <v>303</v>
      </c>
      <c r="M496" s="1">
        <v>5</v>
      </c>
      <c r="N496" s="1">
        <v>10</v>
      </c>
      <c r="O496" s="1">
        <v>101695.5</v>
      </c>
      <c r="P496" s="1">
        <f>Table1[[#This Row],[Rooms Booked]]/Table1[[#This Row],[Rooms Available]]*100</f>
        <v>6</v>
      </c>
      <c r="Q496" s="1">
        <f>Table1[[#This Row],[Revenue]]/Table1[[#This Row],[Rooms Booked]]</f>
        <v>37665</v>
      </c>
    </row>
    <row r="497" spans="1:17" x14ac:dyDescent="0.25">
      <c r="A497" s="1" t="s">
        <v>20</v>
      </c>
      <c r="B497" s="1" t="s">
        <v>22</v>
      </c>
      <c r="C497" s="1" t="s">
        <v>253</v>
      </c>
      <c r="D497" s="1">
        <v>104784</v>
      </c>
      <c r="E497" s="1" t="s">
        <v>291</v>
      </c>
      <c r="F497" s="1" t="s">
        <v>297</v>
      </c>
      <c r="G497" s="1">
        <v>50</v>
      </c>
      <c r="H497" s="1">
        <v>3</v>
      </c>
      <c r="I497" s="1" t="s">
        <v>298</v>
      </c>
      <c r="J497" s="1">
        <v>6</v>
      </c>
      <c r="K497" s="1" t="s">
        <v>301</v>
      </c>
      <c r="L497" s="1" t="s">
        <v>304</v>
      </c>
      <c r="M497" s="1">
        <v>5</v>
      </c>
      <c r="N497" s="1">
        <v>5</v>
      </c>
      <c r="O497" s="1">
        <v>99544.8</v>
      </c>
      <c r="P497" s="1">
        <f>Table1[[#This Row],[Rooms Booked]]/Table1[[#This Row],[Rooms Available]]*100</f>
        <v>6</v>
      </c>
      <c r="Q497" s="1">
        <f>Table1[[#This Row],[Revenue]]/Table1[[#This Row],[Rooms Booked]]</f>
        <v>34928</v>
      </c>
    </row>
    <row r="498" spans="1:17" x14ac:dyDescent="0.25">
      <c r="A498" s="1" t="s">
        <v>18</v>
      </c>
      <c r="B498" s="1" t="s">
        <v>21</v>
      </c>
      <c r="C498" s="1" t="s">
        <v>289</v>
      </c>
      <c r="D498" s="1">
        <v>53272</v>
      </c>
      <c r="E498" s="1" t="s">
        <v>293</v>
      </c>
      <c r="F498" s="1" t="s">
        <v>295</v>
      </c>
      <c r="G498" s="1">
        <v>50</v>
      </c>
      <c r="H498" s="1">
        <v>2</v>
      </c>
      <c r="I498" s="1" t="s">
        <v>298</v>
      </c>
      <c r="J498" s="1">
        <v>20</v>
      </c>
      <c r="K498" s="1" t="s">
        <v>300</v>
      </c>
      <c r="L498" s="1" t="s">
        <v>304</v>
      </c>
      <c r="M498" s="1">
        <v>1</v>
      </c>
      <c r="N498" s="1">
        <v>0</v>
      </c>
      <c r="O498" s="1">
        <v>53272</v>
      </c>
      <c r="P498" s="1">
        <f>Table1[[#This Row],[Rooms Booked]]/Table1[[#This Row],[Rooms Available]]*100</f>
        <v>4</v>
      </c>
      <c r="Q498" s="1">
        <f>Table1[[#This Row],[Revenue]]/Table1[[#This Row],[Rooms Booked]]</f>
        <v>26636</v>
      </c>
    </row>
    <row r="499" spans="1:17" x14ac:dyDescent="0.25">
      <c r="A499" s="1" t="s">
        <v>20</v>
      </c>
      <c r="B499" s="1" t="s">
        <v>23</v>
      </c>
      <c r="C499" s="1" t="s">
        <v>90</v>
      </c>
      <c r="D499" s="1">
        <v>23768</v>
      </c>
      <c r="E499" s="1" t="s">
        <v>294</v>
      </c>
      <c r="F499" s="1" t="s">
        <v>296</v>
      </c>
      <c r="G499" s="1">
        <v>50</v>
      </c>
      <c r="H499" s="1">
        <v>4</v>
      </c>
      <c r="I499" s="1" t="s">
        <v>298</v>
      </c>
      <c r="J499" s="1">
        <v>17</v>
      </c>
      <c r="K499" s="1" t="s">
        <v>300</v>
      </c>
      <c r="L499" s="1" t="s">
        <v>304</v>
      </c>
      <c r="M499" s="1">
        <v>2</v>
      </c>
      <c r="N499" s="1">
        <v>10</v>
      </c>
      <c r="O499" s="1">
        <v>21391.200000000001</v>
      </c>
      <c r="P499" s="1">
        <f>Table1[[#This Row],[Rooms Booked]]/Table1[[#This Row],[Rooms Available]]*100</f>
        <v>8</v>
      </c>
      <c r="Q499" s="1">
        <f>Table1[[#This Row],[Revenue]]/Table1[[#This Row],[Rooms Booked]]</f>
        <v>5942</v>
      </c>
    </row>
    <row r="500" spans="1:17" x14ac:dyDescent="0.25">
      <c r="A500" s="1" t="s">
        <v>15</v>
      </c>
      <c r="B500" s="1" t="s">
        <v>22</v>
      </c>
      <c r="C500" s="1" t="s">
        <v>290</v>
      </c>
      <c r="D500" s="1">
        <v>56110</v>
      </c>
      <c r="E500" s="1" t="s">
        <v>291</v>
      </c>
      <c r="F500" s="1" t="s">
        <v>296</v>
      </c>
      <c r="G500" s="1">
        <v>50</v>
      </c>
      <c r="H500" s="1">
        <v>5</v>
      </c>
      <c r="I500" s="1" t="s">
        <v>298</v>
      </c>
      <c r="J500" s="1">
        <v>5</v>
      </c>
      <c r="K500" s="1" t="s">
        <v>300</v>
      </c>
      <c r="L500" s="1" t="s">
        <v>302</v>
      </c>
      <c r="M500" s="1">
        <v>4</v>
      </c>
      <c r="N500" s="1">
        <v>10</v>
      </c>
      <c r="O500" s="1">
        <v>50499</v>
      </c>
      <c r="P500" s="1">
        <f>Table1[[#This Row],[Rooms Booked]]/Table1[[#This Row],[Rooms Available]]*100</f>
        <v>10</v>
      </c>
      <c r="Q500" s="1">
        <f>Table1[[#This Row],[Revenue]]/Table1[[#This Row],[Rooms Booked]]</f>
        <v>11222</v>
      </c>
    </row>
    <row r="501" spans="1:17" x14ac:dyDescent="0.25">
      <c r="A501" s="1" t="s">
        <v>18</v>
      </c>
      <c r="B501" s="1" t="s">
        <v>23</v>
      </c>
      <c r="C501" s="1" t="s">
        <v>93</v>
      </c>
      <c r="D501" s="1">
        <v>118776</v>
      </c>
      <c r="E501" s="1" t="s">
        <v>291</v>
      </c>
      <c r="F501" s="1" t="s">
        <v>295</v>
      </c>
      <c r="G501" s="1">
        <v>50</v>
      </c>
      <c r="H501" s="1">
        <v>2</v>
      </c>
      <c r="I501" s="1" t="s">
        <v>298</v>
      </c>
      <c r="J501" s="1">
        <v>26</v>
      </c>
      <c r="K501" s="1" t="s">
        <v>300</v>
      </c>
      <c r="L501" s="1" t="s">
        <v>303</v>
      </c>
      <c r="M501" s="1">
        <v>5</v>
      </c>
      <c r="N501" s="1">
        <v>15</v>
      </c>
      <c r="O501" s="1">
        <v>100959.6</v>
      </c>
      <c r="P501" s="5">
        <f>Table1[[#This Row],[Rooms Booked]]/Table1[[#This Row],[Rooms Available]]*100</f>
        <v>4</v>
      </c>
      <c r="Q501" s="5">
        <f>Table1[[#This Row],[Revenue]]/Table1[[#This Row],[Rooms Booked]]</f>
        <v>59388</v>
      </c>
    </row>
  </sheetData>
  <conditionalFormatting sqref="F2:F501">
    <cfRule type="containsText" dxfId="22" priority="1" operator="containsText" text="Off-Peak">
      <formula>NOT(ISERROR(SEARCH("Off-Peak",F2)))</formula>
    </cfRule>
    <cfRule type="containsText" dxfId="21" priority="2" operator="containsText" text="Peak">
      <formula>NOT(ISERROR(SEARCH("Peak",F2)))</formula>
    </cfRule>
    <cfRule type="containsText" dxfId="20" priority="3" operator="containsText" text="Shoulder">
      <formula>NOT(ISERROR(SEARCH("Shoulder",F2)))</formula>
    </cfRule>
    <cfRule type="containsText" dxfId="19" priority="5" operator="containsText" text="Off-Peak">
      <formula>NOT(ISERROR(SEARCH("Off-Peak",F2)))</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Tourism_Data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Kumar</dc:creator>
  <cp:lastModifiedBy>sneha paswan</cp:lastModifiedBy>
  <dcterms:created xsi:type="dcterms:W3CDTF">2026-02-20T07:02:35Z</dcterms:created>
  <dcterms:modified xsi:type="dcterms:W3CDTF">2026-04-05T18:41:40Z</dcterms:modified>
</cp:coreProperties>
</file>